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sats1.sharepoint.com/sites/SFSTMN/Shared Documents/General/04) Purchase record/11) Gen PO/"/>
    </mc:Choice>
  </mc:AlternateContent>
  <xr:revisionPtr revIDLastSave="444" documentId="13_ncr:1_{FE01365C-4EB1-4564-9D90-4D0E12A7FB75}" xr6:coauthVersionLast="47" xr6:coauthVersionMax="47" xr10:uidLastSave="{653EA847-73A5-48B5-AEC8-50E9F44FB34B}"/>
  <bookViews>
    <workbookView xWindow="-120" yWindow="-120" windowWidth="29040" windowHeight="15720" tabRatio="738" firstSheet="1" activeTab="2" xr2:uid="{FD93BDD2-0387-40AB-BCAA-B331796FFCD0}"/>
  </bookViews>
  <sheets>
    <sheet name="PV" sheetId="7" state="hidden" r:id="rId1"/>
    <sheet name="PV Stage 2" sheetId="29" r:id="rId2"/>
    <sheet name="Gen PO Stage 2 Rev.00" sheetId="3" r:id="rId3"/>
    <sheet name="KPI" sheetId="22" state="hidden" r:id="rId4"/>
    <sheet name="Data Ref." sheetId="5" r:id="rId5"/>
  </sheets>
  <definedNames>
    <definedName name="_xlnm._FilterDatabase" localSheetId="2" hidden="1">'Gen PO Stage 2 Rev.00'!$A$1:$B$1</definedName>
    <definedName name="_xlcn.WorksheetConnection_GenPOStage2D365Rev.00.xlsxRawDataGenPO1" hidden="1">RawDataGenPO[]</definedName>
    <definedName name="_xlnm.Print_Area" localSheetId="2">'Gen PO Stage 2 Rev.00'!$A$1:$AD$260</definedName>
  </definedNames>
  <calcPr calcId="191028"/>
  <pivotCaches>
    <pivotCache cacheId="6" r:id="rId6"/>
    <pivotCache cacheId="7" r:id="rId7"/>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wDataGenPO" name="RawDataGenPO" connection="WorksheetConnection_Gen PO Stage 2 D365 Rev.00.xlsx!RawDataGenPO"/>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24" i="3" l="1"/>
  <c r="U218" i="3"/>
  <c r="U219" i="3"/>
  <c r="AA203" i="3"/>
  <c r="AB203" i="3" s="1"/>
  <c r="AA204" i="3"/>
  <c r="AB204" i="3" s="1"/>
  <c r="AA205" i="3"/>
  <c r="AB205" i="3" s="1"/>
  <c r="AA206" i="3"/>
  <c r="AB206" i="3" s="1"/>
  <c r="AA207" i="3"/>
  <c r="AB207" i="3" s="1"/>
  <c r="AA208" i="3"/>
  <c r="AB208" i="3" s="1"/>
  <c r="AA209" i="3"/>
  <c r="AB209" i="3" s="1"/>
  <c r="AA210" i="3"/>
  <c r="AB210" i="3" s="1"/>
  <c r="AA211" i="3"/>
  <c r="AB211" i="3" s="1"/>
  <c r="AA212" i="3"/>
  <c r="AB212" i="3" s="1"/>
  <c r="AA213" i="3"/>
  <c r="AB213" i="3" s="1"/>
  <c r="AA214" i="3"/>
  <c r="AB214" i="3" s="1"/>
  <c r="AA215" i="3"/>
  <c r="AB215" i="3" s="1"/>
  <c r="AA216" i="3"/>
  <c r="AB216" i="3" s="1"/>
  <c r="U203" i="3"/>
  <c r="U204" i="3"/>
  <c r="U205" i="3"/>
  <c r="U206" i="3"/>
  <c r="U207" i="3"/>
  <c r="U208" i="3"/>
  <c r="U209" i="3"/>
  <c r="U210" i="3"/>
  <c r="U211" i="3"/>
  <c r="U212" i="3"/>
  <c r="U213" i="3"/>
  <c r="M197" i="3"/>
  <c r="A203" i="3"/>
  <c r="A204" i="3"/>
  <c r="A205" i="3"/>
  <c r="A206" i="3"/>
  <c r="A207" i="3"/>
  <c r="A208" i="3"/>
  <c r="A209" i="3"/>
  <c r="A210" i="3"/>
  <c r="A211" i="3"/>
  <c r="A212" i="3"/>
  <c r="A213" i="3"/>
  <c r="A214" i="3"/>
  <c r="A215" i="3"/>
  <c r="A216" i="3"/>
  <c r="A217" i="3"/>
  <c r="A218" i="3"/>
  <c r="A219" i="3"/>
  <c r="A220" i="3"/>
  <c r="A221" i="3"/>
  <c r="A222" i="3"/>
  <c r="A223" i="3"/>
  <c r="A224" i="3"/>
  <c r="P214" i="3"/>
  <c r="U214" i="3" s="1"/>
  <c r="U215" i="3"/>
  <c r="U216" i="3"/>
  <c r="U217" i="3"/>
  <c r="U220" i="3"/>
  <c r="U221" i="3"/>
  <c r="U222" i="3"/>
  <c r="U223" i="3"/>
  <c r="U224" i="3"/>
  <c r="AA217" i="3"/>
  <c r="AB217" i="3" s="1"/>
  <c r="AA218" i="3"/>
  <c r="AB218" i="3" s="1"/>
  <c r="AA219" i="3"/>
  <c r="AB219" i="3" s="1"/>
  <c r="AA220" i="3"/>
  <c r="AB220" i="3" s="1"/>
  <c r="AA221" i="3"/>
  <c r="AB221" i="3" s="1"/>
  <c r="AA222" i="3"/>
  <c r="AB222" i="3" s="1"/>
  <c r="AA223" i="3"/>
  <c r="AB223" i="3" s="1"/>
  <c r="AA224" i="3"/>
  <c r="AB224" i="3" s="1"/>
  <c r="M203" i="3"/>
  <c r="M204" i="3"/>
  <c r="M205" i="3"/>
  <c r="M206" i="3"/>
  <c r="M207" i="3"/>
  <c r="M208" i="3"/>
  <c r="M209" i="3"/>
  <c r="M210" i="3"/>
  <c r="M211" i="3"/>
  <c r="M212" i="3"/>
  <c r="M213" i="3"/>
  <c r="M214" i="3"/>
  <c r="M215" i="3"/>
  <c r="M216" i="3"/>
  <c r="M217" i="3"/>
  <c r="M218" i="3"/>
  <c r="M219" i="3"/>
  <c r="M220" i="3"/>
  <c r="M221" i="3"/>
  <c r="M222" i="3"/>
  <c r="M223" i="3"/>
  <c r="M198" i="3" l="1"/>
  <c r="M199" i="3"/>
  <c r="M200" i="3"/>
  <c r="M201" i="3"/>
  <c r="M202" i="3"/>
  <c r="M194" i="3"/>
  <c r="U200" i="3"/>
  <c r="U201" i="3"/>
  <c r="U202" i="3"/>
  <c r="AA200" i="3"/>
  <c r="AB200" i="3" s="1"/>
  <c r="AA201" i="3"/>
  <c r="AB201" i="3" s="1"/>
  <c r="AA202" i="3"/>
  <c r="AB202" i="3" s="1"/>
  <c r="A193" i="3"/>
  <c r="A194" i="3"/>
  <c r="A195" i="3"/>
  <c r="A196" i="3"/>
  <c r="A197" i="3"/>
  <c r="A198" i="3"/>
  <c r="A199" i="3"/>
  <c r="A200" i="3"/>
  <c r="A201" i="3"/>
  <c r="A202" i="3"/>
  <c r="A4" i="3"/>
  <c r="A5" i="3"/>
  <c r="A6" i="3"/>
  <c r="M4" i="3"/>
  <c r="M5" i="3"/>
  <c r="M6" i="3"/>
  <c r="U4" i="3"/>
  <c r="U5" i="3"/>
  <c r="U6" i="3"/>
  <c r="AA4" i="3"/>
  <c r="AB4" i="3" s="1"/>
  <c r="AA5" i="3"/>
  <c r="AB5" i="3" s="1"/>
  <c r="AA6" i="3"/>
  <c r="AB6" i="3" s="1"/>
  <c r="A7" i="3"/>
  <c r="M7" i="3"/>
  <c r="U7" i="3"/>
  <c r="AA7" i="3"/>
  <c r="AB7" i="3" s="1"/>
  <c r="U197" i="3"/>
  <c r="U198" i="3"/>
  <c r="U199" i="3"/>
  <c r="AA197" i="3"/>
  <c r="AB197" i="3" s="1"/>
  <c r="AA198" i="3"/>
  <c r="AB198" i="3" s="1"/>
  <c r="AA199" i="3"/>
  <c r="AB199" i="3" s="1"/>
  <c r="A192" i="3"/>
  <c r="M192" i="3"/>
  <c r="M193" i="3"/>
  <c r="M195" i="3"/>
  <c r="M196" i="3"/>
  <c r="U192" i="3"/>
  <c r="U193" i="3"/>
  <c r="U194" i="3"/>
  <c r="U195" i="3"/>
  <c r="U196" i="3"/>
  <c r="AA192" i="3"/>
  <c r="AB192" i="3" s="1"/>
  <c r="AA193" i="3"/>
  <c r="AB193" i="3" s="1"/>
  <c r="AA194" i="3"/>
  <c r="AB194" i="3" s="1"/>
  <c r="AA195" i="3"/>
  <c r="AB195" i="3" s="1"/>
  <c r="AA196" i="3"/>
  <c r="AB196" i="3" s="1"/>
  <c r="A188" i="3"/>
  <c r="A189" i="3"/>
  <c r="A190" i="3"/>
  <c r="A191" i="3"/>
  <c r="M188" i="3"/>
  <c r="M189" i="3"/>
  <c r="M190" i="3"/>
  <c r="M191" i="3"/>
  <c r="U189" i="3"/>
  <c r="U190" i="3"/>
  <c r="U191" i="3"/>
  <c r="U188" i="3"/>
  <c r="AA188" i="3"/>
  <c r="AB188" i="3" s="1"/>
  <c r="AA189" i="3"/>
  <c r="AB189" i="3" s="1"/>
  <c r="AA190" i="3"/>
  <c r="AB190" i="3" s="1"/>
  <c r="AA191" i="3"/>
  <c r="AB191" i="3" s="1"/>
  <c r="A180" i="3"/>
  <c r="A181" i="3"/>
  <c r="A182" i="3"/>
  <c r="A183" i="3"/>
  <c r="A184" i="3"/>
  <c r="A185" i="3"/>
  <c r="A186" i="3"/>
  <c r="A187" i="3"/>
  <c r="M180" i="3"/>
  <c r="M181" i="3"/>
  <c r="M182" i="3"/>
  <c r="M183" i="3"/>
  <c r="M184" i="3"/>
  <c r="M185" i="3"/>
  <c r="M186" i="3"/>
  <c r="M187" i="3"/>
  <c r="U180" i="3"/>
  <c r="U181" i="3"/>
  <c r="U182" i="3"/>
  <c r="U183" i="3"/>
  <c r="U184" i="3"/>
  <c r="U185" i="3"/>
  <c r="U187" i="3"/>
  <c r="U186" i="3"/>
  <c r="AA180" i="3"/>
  <c r="AB180" i="3" s="1"/>
  <c r="AA181" i="3"/>
  <c r="AB181" i="3" s="1"/>
  <c r="AA182" i="3"/>
  <c r="AB182" i="3" s="1"/>
  <c r="AA183" i="3"/>
  <c r="AB183" i="3" s="1"/>
  <c r="AA184" i="3"/>
  <c r="AB184" i="3" s="1"/>
  <c r="AA185" i="3"/>
  <c r="AB185" i="3" s="1"/>
  <c r="AA186" i="3"/>
  <c r="AB186" i="3" s="1"/>
  <c r="AA187" i="3"/>
  <c r="AB187" i="3" s="1"/>
  <c r="A178" i="3"/>
  <c r="A179" i="3"/>
  <c r="M178" i="3"/>
  <c r="M179" i="3"/>
  <c r="U178" i="3"/>
  <c r="U179" i="3"/>
  <c r="AA178" i="3"/>
  <c r="AB178" i="3" s="1"/>
  <c r="AA179" i="3"/>
  <c r="AB179" i="3" s="1"/>
  <c r="U168" i="3"/>
  <c r="U169" i="3"/>
  <c r="U170" i="3"/>
  <c r="A169" i="3"/>
  <c r="M169" i="3"/>
  <c r="AA169" i="3"/>
  <c r="AB169" i="3" s="1"/>
  <c r="M172" i="3"/>
  <c r="M168" i="3"/>
  <c r="M162" i="3"/>
  <c r="M163" i="3"/>
  <c r="M164" i="3"/>
  <c r="M165" i="3"/>
  <c r="M166" i="3"/>
  <c r="M167" i="3"/>
  <c r="M170" i="3"/>
  <c r="M171" i="3"/>
  <c r="M173" i="3"/>
  <c r="M174" i="3"/>
  <c r="M2" i="3"/>
  <c r="M3"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75" i="3"/>
  <c r="M176" i="3"/>
  <c r="M177" i="3"/>
  <c r="A158" i="3"/>
  <c r="A165" i="3"/>
  <c r="A166" i="3"/>
  <c r="A167" i="3"/>
  <c r="A168" i="3"/>
  <c r="A170" i="3"/>
  <c r="A171" i="3"/>
  <c r="A172" i="3"/>
  <c r="A173" i="3"/>
  <c r="A174" i="3"/>
  <c r="A175" i="3"/>
  <c r="A176" i="3"/>
  <c r="A177" i="3"/>
  <c r="U165" i="3"/>
  <c r="U166" i="3"/>
  <c r="U167" i="3"/>
  <c r="U171" i="3"/>
  <c r="U173" i="3"/>
  <c r="U174" i="3"/>
  <c r="U175" i="3"/>
  <c r="U176" i="3"/>
  <c r="U177" i="3"/>
  <c r="AA165" i="3"/>
  <c r="AB165" i="3" s="1"/>
  <c r="AA166" i="3"/>
  <c r="AB166" i="3" s="1"/>
  <c r="AA167" i="3"/>
  <c r="AB167" i="3" s="1"/>
  <c r="AA168" i="3"/>
  <c r="AB168" i="3" s="1"/>
  <c r="AA170" i="3"/>
  <c r="AB170" i="3" s="1"/>
  <c r="AA171" i="3"/>
  <c r="AB171" i="3" s="1"/>
  <c r="AA172" i="3"/>
  <c r="AB172" i="3" s="1"/>
  <c r="AA173" i="3"/>
  <c r="AB173" i="3" s="1"/>
  <c r="AA174" i="3"/>
  <c r="AB174" i="3" s="1"/>
  <c r="AA175" i="3"/>
  <c r="AB175" i="3" s="1"/>
  <c r="AA176" i="3"/>
  <c r="AB176" i="3" s="1"/>
  <c r="AA177" i="3"/>
  <c r="AB177" i="3" s="1"/>
  <c r="A157" i="3"/>
  <c r="A159" i="3"/>
  <c r="A160" i="3"/>
  <c r="A161" i="3"/>
  <c r="A162" i="3"/>
  <c r="A163" i="3"/>
  <c r="A164" i="3"/>
  <c r="U157" i="3"/>
  <c r="U158" i="3"/>
  <c r="U159" i="3"/>
  <c r="U160" i="3"/>
  <c r="U161" i="3"/>
  <c r="U162" i="3"/>
  <c r="U163" i="3"/>
  <c r="U164" i="3"/>
  <c r="AA157" i="3"/>
  <c r="AB157" i="3" s="1"/>
  <c r="AA158" i="3"/>
  <c r="AB158" i="3" s="1"/>
  <c r="AA159" i="3"/>
  <c r="AB159" i="3" s="1"/>
  <c r="AA160" i="3"/>
  <c r="AB160" i="3" s="1"/>
  <c r="AA161" i="3"/>
  <c r="AB161" i="3" s="1"/>
  <c r="AA162" i="3"/>
  <c r="AB162" i="3" s="1"/>
  <c r="AA163" i="3"/>
  <c r="AB163" i="3" s="1"/>
  <c r="AA164" i="3"/>
  <c r="AB164" i="3" s="1"/>
  <c r="A153" i="3"/>
  <c r="A154" i="3"/>
  <c r="A155" i="3"/>
  <c r="A156" i="3"/>
  <c r="U153" i="3"/>
  <c r="U154" i="3"/>
  <c r="U155" i="3"/>
  <c r="U156" i="3"/>
  <c r="AA153" i="3"/>
  <c r="AB153" i="3" s="1"/>
  <c r="AA154" i="3"/>
  <c r="AB154" i="3" s="1"/>
  <c r="AA155" i="3"/>
  <c r="AB155" i="3" s="1"/>
  <c r="AA156" i="3"/>
  <c r="AB156" i="3" s="1"/>
  <c r="A150" i="3"/>
  <c r="A151" i="3"/>
  <c r="A152" i="3"/>
  <c r="U150" i="3"/>
  <c r="U152" i="3"/>
  <c r="U151" i="3"/>
  <c r="AA150" i="3"/>
  <c r="AB150" i="3" s="1"/>
  <c r="AA151" i="3"/>
  <c r="AB151" i="3" s="1"/>
  <c r="AA152" i="3"/>
  <c r="AB152" i="3" s="1"/>
  <c r="A149" i="3"/>
  <c r="U149" i="3"/>
  <c r="AA149" i="3"/>
  <c r="AB149" i="3" s="1"/>
  <c r="A144" i="3"/>
  <c r="A145" i="3"/>
  <c r="A146" i="3"/>
  <c r="A147" i="3"/>
  <c r="A148" i="3"/>
  <c r="U145" i="3"/>
  <c r="U146" i="3"/>
  <c r="U147" i="3"/>
  <c r="U148" i="3"/>
  <c r="U144" i="3"/>
  <c r="AA144" i="3"/>
  <c r="AB144" i="3" s="1"/>
  <c r="AA145" i="3"/>
  <c r="AB145" i="3" s="1"/>
  <c r="AA146" i="3"/>
  <c r="AB146" i="3" s="1"/>
  <c r="AA147" i="3"/>
  <c r="AB147" i="3" s="1"/>
  <c r="AA148" i="3"/>
  <c r="AB148" i="3" s="1"/>
  <c r="A131" i="3"/>
  <c r="A132" i="3"/>
  <c r="A133" i="3"/>
  <c r="A134" i="3"/>
  <c r="A135" i="3"/>
  <c r="A136" i="3"/>
  <c r="A137" i="3"/>
  <c r="A138" i="3"/>
  <c r="A139" i="3"/>
  <c r="A140" i="3"/>
  <c r="A141" i="3"/>
  <c r="A142" i="3"/>
  <c r="A143" i="3"/>
  <c r="U131" i="3"/>
  <c r="U132" i="3"/>
  <c r="U133" i="3"/>
  <c r="U134" i="3"/>
  <c r="U136" i="3"/>
  <c r="U137" i="3"/>
  <c r="U138" i="3"/>
  <c r="U140" i="3"/>
  <c r="U141" i="3"/>
  <c r="U142" i="3"/>
  <c r="U143" i="3"/>
  <c r="U135" i="3"/>
  <c r="U139" i="3"/>
  <c r="AA131" i="3"/>
  <c r="AB131" i="3" s="1"/>
  <c r="AA132" i="3"/>
  <c r="AB132" i="3" s="1"/>
  <c r="AA133" i="3"/>
  <c r="AB133" i="3" s="1"/>
  <c r="AA134" i="3"/>
  <c r="AB134" i="3" s="1"/>
  <c r="AA135" i="3"/>
  <c r="AB135" i="3" s="1"/>
  <c r="AA136" i="3"/>
  <c r="AB136" i="3" s="1"/>
  <c r="AA137" i="3"/>
  <c r="AB137" i="3" s="1"/>
  <c r="AA138" i="3"/>
  <c r="AB138" i="3" s="1"/>
  <c r="AA139" i="3"/>
  <c r="AB139" i="3" s="1"/>
  <c r="AA140" i="3"/>
  <c r="AB140" i="3" s="1"/>
  <c r="AA141" i="3"/>
  <c r="AB141" i="3" s="1"/>
  <c r="AA142" i="3"/>
  <c r="AB142" i="3" s="1"/>
  <c r="AA143" i="3"/>
  <c r="AB143" i="3" s="1"/>
  <c r="U125" i="3"/>
  <c r="U127" i="3"/>
  <c r="U128" i="3"/>
  <c r="U129" i="3"/>
  <c r="U130" i="3"/>
  <c r="U126" i="3"/>
  <c r="AA125" i="3"/>
  <c r="AB125" i="3" s="1"/>
  <c r="AA126" i="3"/>
  <c r="AB126" i="3" s="1"/>
  <c r="AA127" i="3"/>
  <c r="AB127" i="3" s="1"/>
  <c r="AA128" i="3"/>
  <c r="AB128" i="3" s="1"/>
  <c r="AA129" i="3"/>
  <c r="AB129" i="3" s="1"/>
  <c r="AA130" i="3"/>
  <c r="AB130" i="3" s="1"/>
  <c r="A125" i="3"/>
  <c r="A126" i="3"/>
  <c r="A127" i="3"/>
  <c r="A128" i="3"/>
  <c r="A129" i="3"/>
  <c r="A130" i="3"/>
  <c r="P10" i="3"/>
  <c r="P94" i="3"/>
  <c r="U172" i="3" l="1"/>
  <c r="A121" i="3"/>
  <c r="A122" i="3"/>
  <c r="A123" i="3"/>
  <c r="A124" i="3"/>
  <c r="U121" i="3"/>
  <c r="U122" i="3"/>
  <c r="U123" i="3"/>
  <c r="U124" i="3"/>
  <c r="AA121" i="3"/>
  <c r="AB121" i="3" s="1"/>
  <c r="AA122" i="3"/>
  <c r="AB122" i="3" s="1"/>
  <c r="AA123" i="3"/>
  <c r="AB123" i="3" s="1"/>
  <c r="AA124" i="3"/>
  <c r="AB124" i="3" s="1"/>
  <c r="P93" i="3"/>
  <c r="A3"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P92" i="3"/>
  <c r="P91" i="3"/>
  <c r="P20" i="3"/>
  <c r="P21" i="3"/>
  <c r="P22" i="3"/>
  <c r="P23" i="3"/>
  <c r="P24" i="3"/>
  <c r="P25" i="3"/>
  <c r="P19" i="3"/>
  <c r="P18" i="3"/>
  <c r="P43" i="3"/>
  <c r="P42" i="3"/>
  <c r="U112" i="3" l="1"/>
  <c r="U113" i="3"/>
  <c r="U114" i="3"/>
  <c r="U115" i="3"/>
  <c r="U116" i="3"/>
  <c r="U117" i="3"/>
  <c r="U118" i="3"/>
  <c r="U119" i="3"/>
  <c r="U120" i="3"/>
  <c r="AA112" i="3"/>
  <c r="AB112" i="3" s="1"/>
  <c r="AA113" i="3"/>
  <c r="AB113" i="3" s="1"/>
  <c r="AA114" i="3"/>
  <c r="AB114" i="3" s="1"/>
  <c r="AA115" i="3"/>
  <c r="AB115" i="3" s="1"/>
  <c r="AA116" i="3"/>
  <c r="AB116" i="3" s="1"/>
  <c r="AA117" i="3"/>
  <c r="AB117" i="3" s="1"/>
  <c r="AA118" i="3"/>
  <c r="AB118" i="3" s="1"/>
  <c r="AA119" i="3"/>
  <c r="AB119" i="3" s="1"/>
  <c r="AA120" i="3"/>
  <c r="AB120" i="3" s="1"/>
  <c r="U104" i="3"/>
  <c r="U106" i="3"/>
  <c r="U107" i="3"/>
  <c r="U108" i="3"/>
  <c r="U109" i="3"/>
  <c r="U110" i="3"/>
  <c r="U111" i="3"/>
  <c r="U105" i="3"/>
  <c r="AA104" i="3"/>
  <c r="AB104" i="3" s="1"/>
  <c r="AA105" i="3"/>
  <c r="AB105" i="3" s="1"/>
  <c r="AA106" i="3"/>
  <c r="AB106" i="3" s="1"/>
  <c r="AA107" i="3"/>
  <c r="AB107" i="3" s="1"/>
  <c r="AA108" i="3"/>
  <c r="AB108" i="3" s="1"/>
  <c r="AA109" i="3"/>
  <c r="AB109" i="3" s="1"/>
  <c r="AA110" i="3"/>
  <c r="AB110" i="3" s="1"/>
  <c r="AA111" i="3"/>
  <c r="AB111" i="3" s="1"/>
  <c r="U103" i="3"/>
  <c r="AA103" i="3"/>
  <c r="AB103" i="3" s="1"/>
  <c r="U94" i="3"/>
  <c r="U95" i="3"/>
  <c r="U96" i="3"/>
  <c r="U97" i="3"/>
  <c r="U98" i="3"/>
  <c r="U99" i="3"/>
  <c r="U100" i="3"/>
  <c r="U101" i="3"/>
  <c r="U102" i="3"/>
  <c r="AA94" i="3"/>
  <c r="AB94" i="3" s="1"/>
  <c r="AA95" i="3"/>
  <c r="AB95" i="3" s="1"/>
  <c r="AA96" i="3"/>
  <c r="AB96" i="3" s="1"/>
  <c r="AA97" i="3"/>
  <c r="AB97" i="3" s="1"/>
  <c r="AA98" i="3"/>
  <c r="AB98" i="3" s="1"/>
  <c r="AA99" i="3"/>
  <c r="AB99" i="3" s="1"/>
  <c r="AA100" i="3"/>
  <c r="AB100" i="3" s="1"/>
  <c r="AA101" i="3"/>
  <c r="AB101" i="3" s="1"/>
  <c r="AA102" i="3"/>
  <c r="AB102" i="3" s="1"/>
  <c r="P12" i="3"/>
  <c r="U12" i="3" s="1"/>
  <c r="P41" i="3"/>
  <c r="U41" i="3" s="1"/>
  <c r="P40" i="3"/>
  <c r="U40" i="3" s="1"/>
  <c r="P39" i="3"/>
  <c r="U39" i="3" s="1"/>
  <c r="P38" i="3"/>
  <c r="U38" i="3" s="1"/>
  <c r="U2" i="3"/>
  <c r="U3" i="3"/>
  <c r="U8" i="3"/>
  <c r="U9" i="3"/>
  <c r="U10" i="3"/>
  <c r="U11" i="3"/>
  <c r="U13" i="3"/>
  <c r="U14" i="3"/>
  <c r="U18" i="3"/>
  <c r="U19" i="3"/>
  <c r="U20" i="3"/>
  <c r="U21" i="3"/>
  <c r="U22" i="3"/>
  <c r="U23" i="3"/>
  <c r="U24" i="3"/>
  <c r="U25" i="3"/>
  <c r="U26" i="3"/>
  <c r="U28" i="3"/>
  <c r="U29" i="3"/>
  <c r="U30" i="3"/>
  <c r="U31" i="3"/>
  <c r="U32" i="3"/>
  <c r="U33" i="3"/>
  <c r="U34" i="3"/>
  <c r="U35" i="3"/>
  <c r="U36" i="3"/>
  <c r="U37" i="3"/>
  <c r="U42" i="3"/>
  <c r="U43" i="3"/>
  <c r="U44" i="3"/>
  <c r="U45" i="3"/>
  <c r="U46" i="3"/>
  <c r="U47" i="3"/>
  <c r="U48" i="3"/>
  <c r="U49" i="3"/>
  <c r="U50" i="3"/>
  <c r="U51" i="3"/>
  <c r="U52" i="3"/>
  <c r="U53" i="3"/>
  <c r="U54" i="3"/>
  <c r="U55" i="3"/>
  <c r="U56" i="3"/>
  <c r="U57" i="3"/>
  <c r="U58" i="3"/>
  <c r="U59" i="3"/>
  <c r="U60" i="3"/>
  <c r="U61" i="3"/>
  <c r="U62" i="3"/>
  <c r="U63" i="3"/>
  <c r="U64" i="3"/>
  <c r="U65" i="3"/>
  <c r="U66" i="3"/>
  <c r="U67" i="3"/>
  <c r="U68" i="3"/>
  <c r="U69" i="3"/>
  <c r="U70" i="3"/>
  <c r="U71" i="3"/>
  <c r="U72" i="3"/>
  <c r="U73" i="3"/>
  <c r="U74" i="3"/>
  <c r="U75" i="3"/>
  <c r="U76" i="3"/>
  <c r="U77" i="3"/>
  <c r="U78" i="3"/>
  <c r="U79" i="3"/>
  <c r="U80" i="3"/>
  <c r="U81" i="3"/>
  <c r="U82" i="3"/>
  <c r="U83" i="3"/>
  <c r="U84" i="3"/>
  <c r="U85" i="3"/>
  <c r="U86" i="3"/>
  <c r="U87" i="3"/>
  <c r="U88" i="3"/>
  <c r="U89" i="3"/>
  <c r="P27" i="3"/>
  <c r="U27" i="3" s="1"/>
  <c r="P17" i="3"/>
  <c r="U17" i="3" s="1"/>
  <c r="P15" i="3"/>
  <c r="U15" i="3" s="1"/>
  <c r="P16" i="3"/>
  <c r="U16" i="3" s="1"/>
  <c r="U90" i="3"/>
  <c r="U91" i="3"/>
  <c r="U92" i="3"/>
  <c r="U93" i="3"/>
  <c r="AA43" i="3"/>
  <c r="AB43" i="3" s="1"/>
  <c r="AA9" i="3"/>
  <c r="AB9" i="3" s="1"/>
  <c r="AA85" i="3"/>
  <c r="AB85" i="3" s="1"/>
  <c r="AA86" i="3"/>
  <c r="AB86" i="3" s="1"/>
  <c r="AA87" i="3"/>
  <c r="AB87" i="3" s="1"/>
  <c r="AA88" i="3"/>
  <c r="AB88" i="3" s="1"/>
  <c r="AA89" i="3"/>
  <c r="AB89" i="3" s="1"/>
  <c r="AA90" i="3"/>
  <c r="AB90" i="3" s="1"/>
  <c r="AA91" i="3"/>
  <c r="AB91" i="3" s="1"/>
  <c r="AA92" i="3"/>
  <c r="AB92" i="3" s="1"/>
  <c r="AA93" i="3"/>
  <c r="AB93" i="3" s="1"/>
  <c r="AA84" i="3"/>
  <c r="AB84" i="3" s="1"/>
  <c r="AA80" i="3"/>
  <c r="AB80" i="3" s="1"/>
  <c r="AA81" i="3"/>
  <c r="AB81" i="3" s="1"/>
  <c r="AA82" i="3"/>
  <c r="AB82" i="3" s="1"/>
  <c r="AA83" i="3"/>
  <c r="AB83" i="3" s="1"/>
  <c r="AA74" i="3"/>
  <c r="AB74" i="3" s="1"/>
  <c r="AA75" i="3"/>
  <c r="AB75" i="3" s="1"/>
  <c r="AA76" i="3"/>
  <c r="AB76" i="3" s="1"/>
  <c r="AA77" i="3"/>
  <c r="AB77" i="3" s="1"/>
  <c r="AA78" i="3"/>
  <c r="AB78" i="3" s="1"/>
  <c r="AA79" i="3"/>
  <c r="AB79" i="3" s="1"/>
  <c r="AA69" i="3"/>
  <c r="AB69" i="3" s="1"/>
  <c r="AA70" i="3"/>
  <c r="AB70" i="3" s="1"/>
  <c r="AA71" i="3"/>
  <c r="AB71" i="3" s="1"/>
  <c r="AA72" i="3"/>
  <c r="AB72" i="3" s="1"/>
  <c r="AA73" i="3"/>
  <c r="AB73" i="3" s="1"/>
  <c r="AA61" i="3"/>
  <c r="AB61" i="3" s="1"/>
  <c r="AA62" i="3"/>
  <c r="AB62" i="3" s="1"/>
  <c r="AA63" i="3"/>
  <c r="AB63" i="3" s="1"/>
  <c r="AA64" i="3"/>
  <c r="AB64" i="3" s="1"/>
  <c r="AA65" i="3"/>
  <c r="AB65" i="3" s="1"/>
  <c r="AA66" i="3"/>
  <c r="AB66" i="3" s="1"/>
  <c r="AA67" i="3"/>
  <c r="AB67" i="3" s="1"/>
  <c r="AA68" i="3"/>
  <c r="AB68" i="3" s="1"/>
  <c r="AA59" i="3"/>
  <c r="AB59" i="3" s="1"/>
  <c r="AA60" i="3"/>
  <c r="AB60" i="3" s="1"/>
  <c r="AA58" i="3"/>
  <c r="AB58" i="3" s="1"/>
  <c r="AA47" i="3"/>
  <c r="AB47" i="3" s="1"/>
  <c r="AA48" i="3"/>
  <c r="AB48" i="3" s="1"/>
  <c r="AA49" i="3"/>
  <c r="AB49" i="3" s="1"/>
  <c r="AA50" i="3"/>
  <c r="AB50" i="3" s="1"/>
  <c r="AA51" i="3"/>
  <c r="AB51" i="3" s="1"/>
  <c r="AA52" i="3"/>
  <c r="AB52" i="3" s="1"/>
  <c r="AA53" i="3"/>
  <c r="AB53" i="3" s="1"/>
  <c r="AA54" i="3"/>
  <c r="AB54" i="3" s="1"/>
  <c r="AA55" i="3"/>
  <c r="AB55" i="3" s="1"/>
  <c r="AA56" i="3"/>
  <c r="AB56" i="3" s="1"/>
  <c r="AA57" i="3"/>
  <c r="AB57" i="3" s="1"/>
  <c r="AA46" i="3"/>
  <c r="AB46" i="3" s="1"/>
  <c r="AA38" i="3"/>
  <c r="AB38" i="3" s="1"/>
  <c r="AA39" i="3"/>
  <c r="AB39" i="3" s="1"/>
  <c r="AA40" i="3"/>
  <c r="AB40" i="3" s="1"/>
  <c r="AA41" i="3"/>
  <c r="AB41" i="3" s="1"/>
  <c r="AA42" i="3"/>
  <c r="AB42" i="3" s="1"/>
  <c r="AA44" i="3"/>
  <c r="AB44" i="3" s="1"/>
  <c r="AA45" i="3"/>
  <c r="AB45" i="3" s="1"/>
  <c r="AA29" i="3"/>
  <c r="AB29" i="3" s="1"/>
  <c r="AA30" i="3"/>
  <c r="AB30" i="3" s="1"/>
  <c r="AA31" i="3"/>
  <c r="AB31" i="3" s="1"/>
  <c r="AA32" i="3"/>
  <c r="AB32" i="3" s="1"/>
  <c r="AA33" i="3"/>
  <c r="AB33" i="3" s="1"/>
  <c r="AA34" i="3"/>
  <c r="AB34" i="3" s="1"/>
  <c r="AA35" i="3"/>
  <c r="AB35" i="3" s="1"/>
  <c r="AA36" i="3"/>
  <c r="AB36" i="3" s="1"/>
  <c r="AA37" i="3"/>
  <c r="AB37" i="3" s="1"/>
  <c r="AA28" i="3"/>
  <c r="AB28" i="3" s="1"/>
  <c r="AA27" i="3"/>
  <c r="AB27" i="3" s="1"/>
  <c r="AA22" i="3"/>
  <c r="AB22" i="3" s="1"/>
  <c r="AA23" i="3"/>
  <c r="AB23" i="3" s="1"/>
  <c r="AA24" i="3"/>
  <c r="AB24" i="3" s="1"/>
  <c r="AA25" i="3"/>
  <c r="AB25" i="3" s="1"/>
  <c r="AA26" i="3"/>
  <c r="AB26" i="3" s="1"/>
  <c r="AA21" i="3"/>
  <c r="AB21" i="3" s="1"/>
  <c r="AA17" i="3"/>
  <c r="AB17" i="3" s="1"/>
  <c r="AA18" i="3"/>
  <c r="AB18" i="3" s="1"/>
  <c r="AA19" i="3"/>
  <c r="AB19" i="3" s="1"/>
  <c r="AA20" i="3"/>
  <c r="AB20" i="3" s="1"/>
  <c r="AA12" i="3"/>
  <c r="AB12" i="3" s="1"/>
  <c r="AA13" i="3"/>
  <c r="AB13" i="3" s="1"/>
  <c r="AA14" i="3"/>
  <c r="AB14" i="3" s="1"/>
  <c r="AA15" i="3"/>
  <c r="AB15" i="3" s="1"/>
  <c r="AA16" i="3"/>
  <c r="AB16" i="3" s="1"/>
  <c r="AA11" i="3" l="1"/>
  <c r="AB11" i="3" s="1"/>
  <c r="AA8" i="3"/>
  <c r="AB8" i="3" s="1"/>
  <c r="AA10" i="3"/>
  <c r="AB10" i="3" s="1"/>
  <c r="AA3" i="3"/>
  <c r="AB3" i="3" s="1"/>
  <c r="AA2" i="3"/>
  <c r="AB2" i="3" s="1"/>
  <c r="A2" i="3"/>
  <c r="F22" i="22" l="1"/>
  <c r="D22" i="22"/>
  <c r="D21" i="22"/>
  <c r="F20" i="22"/>
  <c r="F21" i="22" s="1"/>
  <c r="F23" i="22" s="1"/>
  <c r="E20" i="22"/>
  <c r="E21" i="22" s="1"/>
  <c r="D20" i="22"/>
  <c r="D9" i="22"/>
  <c r="D10" i="22" s="1"/>
  <c r="E9" i="22"/>
  <c r="E10" i="22" s="1"/>
  <c r="F9" i="22"/>
  <c r="F10" i="22" s="1"/>
  <c r="K18" i="22"/>
  <c r="O19" i="22"/>
  <c r="I19" i="22"/>
  <c r="I7" i="22"/>
  <c r="K7" i="22"/>
  <c r="L19" i="22"/>
  <c r="H7" i="22"/>
  <c r="G18" i="22"/>
  <c r="K19" i="22"/>
  <c r="O8" i="22"/>
  <c r="J19" i="22"/>
  <c r="I8" i="22"/>
  <c r="N18" i="22"/>
  <c r="N8" i="22"/>
  <c r="J7" i="22"/>
  <c r="L18" i="22"/>
  <c r="M18" i="22"/>
  <c r="M8" i="22"/>
  <c r="J18" i="22"/>
  <c r="O7" i="22"/>
  <c r="O18" i="22"/>
  <c r="J8" i="22"/>
  <c r="M7" i="22"/>
  <c r="L7" i="22"/>
  <c r="H18" i="22"/>
  <c r="K8" i="22"/>
  <c r="L8" i="22"/>
  <c r="N19" i="22"/>
  <c r="G7" i="22"/>
  <c r="I18" i="22"/>
  <c r="N7" i="22"/>
  <c r="M19" i="22"/>
  <c r="H20" i="22" l="1"/>
  <c r="H22" i="22" s="1"/>
  <c r="I20" i="22"/>
  <c r="I22" i="22" s="1"/>
  <c r="J20" i="22"/>
  <c r="J22" i="22" s="1"/>
  <c r="K20" i="22"/>
  <c r="K21" i="22" s="1"/>
  <c r="M20" i="22"/>
  <c r="M21" i="22" s="1"/>
  <c r="N20" i="22"/>
  <c r="N21" i="22" s="1"/>
  <c r="L20" i="22"/>
  <c r="L21" i="22" s="1"/>
  <c r="G20" i="22"/>
  <c r="G22" i="22" s="1"/>
  <c r="O20" i="22"/>
  <c r="O22" i="22" s="1"/>
  <c r="E22" i="22"/>
  <c r="E23" i="22" s="1"/>
  <c r="D23" i="22"/>
  <c r="F11" i="22"/>
  <c r="E11" i="22"/>
  <c r="E12" i="22" s="1"/>
  <c r="D11" i="22"/>
  <c r="D12" i="22" s="1"/>
  <c r="H9" i="22"/>
  <c r="H10" i="22" s="1"/>
  <c r="I9" i="22"/>
  <c r="I10" i="22" s="1"/>
  <c r="J9" i="22"/>
  <c r="J10" i="22" s="1"/>
  <c r="K9" i="22"/>
  <c r="K10" i="22" s="1"/>
  <c r="L9" i="22"/>
  <c r="L10" i="22" s="1"/>
  <c r="M9" i="22"/>
  <c r="M10" i="22" s="1"/>
  <c r="N9" i="22"/>
  <c r="N10" i="22" s="1"/>
  <c r="O9" i="22"/>
  <c r="O10" i="22" s="1"/>
  <c r="G9" i="22"/>
  <c r="G11" i="22" s="1"/>
  <c r="L22" i="22" l="1"/>
  <c r="L23" i="22" s="1"/>
  <c r="J21" i="22"/>
  <c r="J23" i="22" s="1"/>
  <c r="O21" i="22"/>
  <c r="O23" i="22" s="1"/>
  <c r="I21" i="22"/>
  <c r="I23" i="22" s="1"/>
  <c r="N22" i="22"/>
  <c r="N23" i="22" s="1"/>
  <c r="K22" i="22"/>
  <c r="K23" i="22" s="1"/>
  <c r="H21" i="22"/>
  <c r="H23" i="22" s="1"/>
  <c r="P22" i="22"/>
  <c r="G21" i="22"/>
  <c r="M22" i="22"/>
  <c r="M23" i="22" s="1"/>
  <c r="F12" i="22"/>
  <c r="I11" i="22"/>
  <c r="I12" i="22" s="1"/>
  <c r="K11" i="22"/>
  <c r="K12" i="22" s="1"/>
  <c r="M11" i="22"/>
  <c r="M12" i="22" s="1"/>
  <c r="N11" i="22"/>
  <c r="N12" i="22" s="1"/>
  <c r="O11" i="22"/>
  <c r="O12" i="22" s="1"/>
  <c r="L11" i="22"/>
  <c r="L12" i="22" s="1"/>
  <c r="J11" i="22"/>
  <c r="J12" i="22" s="1"/>
  <c r="H11" i="22"/>
  <c r="H12" i="22" s="1"/>
  <c r="G10" i="22"/>
  <c r="G23" i="22" l="1"/>
  <c r="P21" i="22"/>
  <c r="P11" i="22"/>
  <c r="G12" i="22"/>
  <c r="P10" i="2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332225-1F74-40DC-8047-91E0D34B1A0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CAE3D0B-3DBF-40F5-BCD3-53770824B0E9}" name="WorksheetConnection_Gen PO Stage 2 D365 Rev.00.xlsx!RawDataGenPO" type="102" refreshedVersion="8" minRefreshableVersion="5">
    <extLst>
      <ext xmlns:x15="http://schemas.microsoft.com/office/spreadsheetml/2010/11/main" uri="{DE250136-89BD-433C-8126-D09CA5730AF9}">
        <x15:connection id="RawDataGenPO" autoDelete="1">
          <x15:rangePr sourceName="_xlcn.WorksheetConnection_GenPOStage2D365Rev.00.xlsxRawDataGenPO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RawDataGenPO].[DMY Create PR].[All]}"/>
    <s v="{[RawDataGenPO].[PO No.].[All]}"/>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<sst xmlns="http://schemas.openxmlformats.org/spreadsheetml/2006/main" count="2540" uniqueCount="642">
  <si>
    <t>Ref. Date crate PR in DM365</t>
  </si>
  <si>
    <t>Month</t>
  </si>
  <si>
    <t>PR/PO Status</t>
  </si>
  <si>
    <t>Jul</t>
  </si>
  <si>
    <t>Aug</t>
  </si>
  <si>
    <t>Sep</t>
  </si>
  <si>
    <t>Oct</t>
  </si>
  <si>
    <t>Grand Total</t>
  </si>
  <si>
    <t>Recive bill and GRN already</t>
  </si>
  <si>
    <t xml:space="preserve">Waitting Supplier transportation </t>
  </si>
  <si>
    <t>Waitting  SATS inspace Jobs</t>
  </si>
  <si>
    <t>Count of Total price</t>
  </si>
  <si>
    <t>Sum of Total price</t>
  </si>
  <si>
    <t>Row Labels</t>
  </si>
  <si>
    <t>CAPEX  (Budget)</t>
  </si>
  <si>
    <t>CAPEX  (Unbudget)</t>
  </si>
  <si>
    <t>Expent  cost</t>
  </si>
  <si>
    <t>Type of cost</t>
  </si>
  <si>
    <t>No.</t>
  </si>
  <si>
    <t>DMY Create PR</t>
  </si>
  <si>
    <t>Date Gen PO</t>
  </si>
  <si>
    <t>Lead time delivery (day)</t>
  </si>
  <si>
    <t>Item</t>
  </si>
  <si>
    <t>Sub PR  No.</t>
  </si>
  <si>
    <t>Qty'</t>
  </si>
  <si>
    <t>Unit</t>
  </si>
  <si>
    <t>Price/Unit</t>
  </si>
  <si>
    <t>Total price</t>
  </si>
  <si>
    <t>Approval status</t>
  </si>
  <si>
    <t>Vendor name</t>
  </si>
  <si>
    <t>PR PO GRN Status</t>
  </si>
  <si>
    <t>GRN No.</t>
  </si>
  <si>
    <t>Date recive bill</t>
  </si>
  <si>
    <t>Recive bill plan(DD-MM)</t>
  </si>
  <si>
    <t>GRN-PO date</t>
  </si>
  <si>
    <t>KPI Status</t>
  </si>
  <si>
    <t>Note</t>
  </si>
  <si>
    <t>SFST81000050</t>
  </si>
  <si>
    <t>PCS.</t>
  </si>
  <si>
    <t>KG.</t>
  </si>
  <si>
    <t>SFST82000016</t>
  </si>
  <si>
    <t>JOB.</t>
  </si>
  <si>
    <t xml:space="preserve"> </t>
  </si>
  <si>
    <t>Inbetween waitting supplier Fix/Install/Other</t>
  </si>
  <si>
    <t>SFST81000078</t>
  </si>
  <si>
    <t>Ontime</t>
  </si>
  <si>
    <t>delivery</t>
  </si>
  <si>
    <t>Over deliverry</t>
  </si>
  <si>
    <t>Total</t>
  </si>
  <si>
    <t>Ontime (%)</t>
  </si>
  <si>
    <t>Over deliverry (%)</t>
  </si>
  <si>
    <t>Total (%)</t>
  </si>
  <si>
    <t>Inbetween Purchase sourcing and compare price</t>
  </si>
  <si>
    <t>Factory no</t>
  </si>
  <si>
    <t>Status PR /PO</t>
  </si>
  <si>
    <t>Factory 1</t>
  </si>
  <si>
    <t>Waitting  Maintenance Approved PR</t>
  </si>
  <si>
    <t>Jan</t>
  </si>
  <si>
    <t>Factory 2</t>
  </si>
  <si>
    <t>Waitting Engineering approved PR</t>
  </si>
  <si>
    <t>Feb</t>
  </si>
  <si>
    <t>Waitting Head of Engineering and project approved PR</t>
  </si>
  <si>
    <t>Mar</t>
  </si>
  <si>
    <t>Waitting  DGM Operation Approve PR</t>
  </si>
  <si>
    <t>Apr</t>
  </si>
  <si>
    <t>Waitting  DGM Support Approve PR</t>
  </si>
  <si>
    <t>May</t>
  </si>
  <si>
    <t>Waitting  GM Support Approve PR</t>
  </si>
  <si>
    <t>Jun</t>
  </si>
  <si>
    <t xml:space="preserve">Waitting  Recive bill and GRN </t>
  </si>
  <si>
    <t>Waitting  Purchasing approve  PO</t>
  </si>
  <si>
    <t>Waitting  DGM Support Approve PO</t>
  </si>
  <si>
    <t>Waitting  GM Support Approve PO</t>
  </si>
  <si>
    <t>Nov</t>
  </si>
  <si>
    <t>Dec</t>
  </si>
  <si>
    <t>Waitting Mgr. Maintenance  Approve in Compare price FO-SF13-015</t>
  </si>
  <si>
    <t>Waitting Mgr. Engineering  Approve in Compare price FO-SF13-015</t>
  </si>
  <si>
    <t>Waitting HOD EN and project Approve in Compare price FO-SF13-015</t>
  </si>
  <si>
    <t>Waitting DGM EN &amp; Pjroject Approve Compare price FO-SF13-015</t>
  </si>
  <si>
    <t>Waitting DGM Operation &amp; Support Approve in Compare price FO-SF13-015</t>
  </si>
  <si>
    <t>Waitting  GM  Approve Compare price FO-SF13-015</t>
  </si>
  <si>
    <t>The contractor delivered it is still incomplete quantity the shipment.</t>
  </si>
  <si>
    <t>Cancle Compare price</t>
  </si>
  <si>
    <t>Cancle PR</t>
  </si>
  <si>
    <t>Cancle PO</t>
  </si>
  <si>
    <t>Reject PR</t>
  </si>
  <si>
    <t>วันนี้ได้รับแจ้งพบปัญหา ชุด Inter lock ของ Steam Box No.1 ชำรุดต้องทำการซ่อมเร่งด่วนโดยจะทำการซ่อมช่วงไม่มีการผลิต ใช้พนักงานทำงาน 2 คน ในช่วงเวลา 17.00-19.00 น</t>
  </si>
  <si>
    <t>PO No.</t>
  </si>
  <si>
    <t>PR No.</t>
  </si>
  <si>
    <t>PR2526-03195</t>
  </si>
  <si>
    <t>PO2526-04375</t>
  </si>
  <si>
    <t>SFST81000006</t>
  </si>
  <si>
    <t>V1000778 - ECOLAB CO., LTD.</t>
  </si>
  <si>
    <t>SERVICE IPM PROGRAM  Stage 2 
- Pest Elimination Program
- Crawling Insect Program (Cockroach, Termite and Common Ant)
- Rodent
- Flying Insects (Flies, Mosquito)
- Small Lizard
- Installation and service 34 units of Stealth Maxima</t>
  </si>
  <si>
    <t>SERVICE BIRD
- Inspection for bird risk assessment and recommendation
- Removal bird's nests around the factory from a height of no more than 10 meters from the ground.
Details are referenced according to the attached contract.</t>
  </si>
  <si>
    <t>Expent  cost for stage 2</t>
  </si>
  <si>
    <t>PR2526-03201</t>
  </si>
  <si>
    <t>PR2526-03202</t>
  </si>
  <si>
    <t>Working table Type A (For 6-persons) (No.1)
Sizc: 1000x1800x850 mm.</t>
  </si>
  <si>
    <t>Working table Type B (No.2) Size: 700x900x850 mm.</t>
  </si>
  <si>
    <t>Working table Type C (No.3)
Size: 600x1200x850 mm.</t>
  </si>
  <si>
    <t>Mobile Record Keeping/QA Table (No.4)
Sizc: 600xti00x850 mm.</t>
  </si>
  <si>
    <t>Shelving Unit (No.5)
Size: 700x2000x 1500 mm.</t>
  </si>
  <si>
    <t>PR2526-03206</t>
  </si>
  <si>
    <t>GN Tray 2/1</t>
  </si>
  <si>
    <t>GN Tray 2/1 Perforated</t>
  </si>
  <si>
    <t>Cover GN Tray</t>
  </si>
  <si>
    <t>Grid Shelf</t>
  </si>
  <si>
    <t>PR2526-03209</t>
  </si>
  <si>
    <t>GN Trolley</t>
  </si>
  <si>
    <t>Thawing trolley</t>
  </si>
  <si>
    <t>Eurobin</t>
  </si>
  <si>
    <t>Food tray table</t>
  </si>
  <si>
    <t>Wheel cart for 601 Pot</t>
  </si>
  <si>
    <t>Basket cart</t>
  </si>
  <si>
    <t>Eurobin Wash Frame</t>
  </si>
  <si>
    <t>PR2526-03211</t>
  </si>
  <si>
    <t>SFST11000070</t>
  </si>
  <si>
    <t>ก๊าซปิโตรเลียมเหลว ( LPG)</t>
  </si>
  <si>
    <t>PO2526-04369</t>
  </si>
  <si>
    <t>V1000786 - UNIQUE GAS &amp; PETROCHEMICALS PUBLIC COMPANY LIMITED</t>
  </si>
  <si>
    <t>PR2526-03269</t>
  </si>
  <si>
    <t>Factory Cleaning Stage 2 for 2 Time
- Hight risk
- Low risk
- Meduim risk
Including cleaning of floors, walls, ceilings, air conditioners, and machinery.
1) First cleaning for FDA audit
Cleaning results verified by ATP test results
300 Test If the test result fails, repeat the cleaning
2) Cleaning for DLD audit in January 2026</t>
  </si>
  <si>
    <t>All</t>
  </si>
  <si>
    <t>PR2526-03275</t>
  </si>
  <si>
    <t>HAND FRESH-66</t>
  </si>
  <si>
    <t>CLICK 10</t>
  </si>
  <si>
    <t>TOPAX 16SF</t>
  </si>
  <si>
    <t>QUORUM PINK II HE</t>
  </si>
  <si>
    <t>TOPAZ AC3</t>
  </si>
  <si>
    <t>ТОРАХ 91-66</t>
  </si>
  <si>
    <t>OXONIA ACTIVE</t>
  </si>
  <si>
    <t>MIP LIQUID</t>
  </si>
  <si>
    <t>SHC EXTREME II-30 (DLD)</t>
  </si>
  <si>
    <t>RINSE DRY</t>
  </si>
  <si>
    <t>Pack</t>
  </si>
  <si>
    <t>PR2526-03276</t>
  </si>
  <si>
    <t>Knife-RHINO 8801: 8"</t>
  </si>
  <si>
    <t>Butcher knife - RHINO NO 986: 9"</t>
  </si>
  <si>
    <t>ladle Seagull</t>
  </si>
  <si>
    <t>short spoon Zebra</t>
  </si>
  <si>
    <t>Scissors: Singer 8"</t>
  </si>
  <si>
    <t>GRN2526-0005414</t>
  </si>
  <si>
    <t>PO2526-04566</t>
  </si>
  <si>
    <t>V1000799 - LALIN CLEAN TECH CO., LTD.</t>
  </si>
  <si>
    <t>PO2526-04540</t>
  </si>
  <si>
    <t xml:space="preserve">PO2526-04575 </t>
  </si>
  <si>
    <t>V1000934 - ร้านบางกอก ไทยแลนด์ โดย นางนัทธ์หทัย วินิจวุฒิวงศ์</t>
  </si>
  <si>
    <t xml:space="preserve">PO2526-04554 </t>
  </si>
  <si>
    <t>V1000877 - ร้านเกศรินทร์ โดยนางเกศรินทร์ ศิรโกวิท</t>
  </si>
  <si>
    <t>PO2526-04555</t>
  </si>
  <si>
    <t>V1000105 - บริษัท เซเว่นไฟว์ ดิสทริบิวเตอร์ จำกัด</t>
  </si>
  <si>
    <t>GRN2526-0005523</t>
  </si>
  <si>
    <t>PR2526-03369</t>
  </si>
  <si>
    <t>SFST81000013</t>
  </si>
  <si>
    <t>ค่าเช่าเครื่องปั้นลูกชิ้น รุ่น JWJ ระยะเวลา 1</t>
  </si>
  <si>
    <t>EA.</t>
  </si>
  <si>
    <t xml:space="preserve">PR2526-03384 </t>
  </si>
  <si>
    <t>Lovibond Chlorine testing DPD NO.1</t>
  </si>
  <si>
    <t>Chlorine test paper "Advantec"</t>
  </si>
  <si>
    <t>HYDRION (QT-10) Quaternary Sanitizers test paper</t>
  </si>
  <si>
    <t>AV-Check "Advantec"</t>
  </si>
  <si>
    <t>BOX.</t>
  </si>
  <si>
    <t>PC.</t>
  </si>
  <si>
    <t>PR2526-03404</t>
  </si>
  <si>
    <t>Watkie Takic license</t>
  </si>
  <si>
    <t>license</t>
  </si>
  <si>
    <t>Digital Thermometer (ANRITSU HR-1100E)</t>
  </si>
  <si>
    <t>Thermocouple Probe (BS-21E-010-TC1-ASP)</t>
  </si>
  <si>
    <t>Digital Balance HT-500 "AND" (500g.)</t>
  </si>
  <si>
    <t>เครื่องซีลสายพาน (Brand: Hualian, Model: FRB-770III)</t>
  </si>
  <si>
    <t>Magnetic Bar (ความยาว 295 mm, เส้นผ่านศูนย์กลาง 2 cm) ความแรงแม่หล็ก 10,000 Gauss</t>
  </si>
  <si>
    <t>Freezer HAIER รุ่น HCF-568DP size 18.3 คิว (519 liter)</t>
  </si>
  <si>
    <t>ตู้แช่เย็นกระจก (Chill) 1 ประตู S-Cool รุ่น SM-61 (12 คิว)</t>
  </si>
  <si>
    <t>PR2526-03405</t>
  </si>
  <si>
    <t>DLD's rubber stamp (Small one), self-inking (Size: 3 cm 2 cm)</t>
  </si>
  <si>
    <t>DLD's rubber stamp (Big one) (Size: 6.5 cm * 4.5 cm)</t>
  </si>
  <si>
    <t>เครื่องซีลแบบมือกด (Brand: Brother, Model: PCS500A)</t>
  </si>
  <si>
    <t>Electric Kettle (Brand: Imarflex, Model: IF-285)</t>
  </si>
  <si>
    <t>Microwave Samsung, Model: MS23K3555EW, ขนาด 23 ลิตร</t>
  </si>
  <si>
    <t>LogTag (UTRIX-16 Temperature Recorder)</t>
  </si>
  <si>
    <t>PR2526-03411</t>
  </si>
  <si>
    <t>Fluke 62 MAX+ Infrared Thermometer</t>
  </si>
  <si>
    <t>Eutech pH Tester 30</t>
  </si>
  <si>
    <t>Refractometer Brix 0-53 Model: Master 53M "Atago"</t>
  </si>
  <si>
    <t>Refractometer Salt 0-28 Model: Master S28 "Atago"</t>
  </si>
  <si>
    <t>Brix-Salt digital Meter PAL-BX SALT+5 Ansitsu</t>
  </si>
  <si>
    <t>Lovibond Chlorine meter Model: MD 200</t>
  </si>
  <si>
    <t>Digital Vernier Caliper Stainless Steel Range 150mm/0-6 Inch</t>
  </si>
  <si>
    <t>Probe (Thermometer) Anritsu รุ่น BS-21E-010-TC1-ASP</t>
  </si>
  <si>
    <t>Anritsu Digital Thermometer Model: HR-1100E (E:-200~800oC)</t>
  </si>
  <si>
    <t>Pantone Formula Guide Solid Coated &amp; Solid Uncoated GP1601B</t>
  </si>
  <si>
    <t>Walkie Talkie ICOM-86FX</t>
  </si>
  <si>
    <t>PR2526-03412</t>
  </si>
  <si>
    <t>UTILITY SUPPLY CONNECTION
- 3 SETS OF WATER CONNECTION TO FREEZER
- 3 SETS OF WATER CONNECTION TO SEMI CIP UNIT
- 3 SETS OF AIR CONNECTION TO SEMI CIP UNIT
- 6 SETS OF AIR CONNECTION
TO INFEED/OUTFEED CONVEYOR SYSTEMS
- ELECTRICAL CONNECTION
AT MAYEKAWA CONTROL PANELS (3 SPIRAL FREEZER CONTROL PANELS, 1 REFRIGERATION SYSTEM CONTROL PANELS, 6 CONVEYOR SYSTEMS CONTROL PANELS)</t>
  </si>
  <si>
    <t>INFEED CV
- LEAVE WIRE FROM 3 INFEED CV CONTROL PANEL
INTO 5 LINES, CABLE WIRING 10M LONG PER LINE</t>
  </si>
  <si>
    <t>MAYEKAWA PAID IN ADVANCE FOR FUEL &amp; WATER SUPPLY TO SITE WORK
EACH INVOICE DETAILS AND SUMMARIZE ARE AS ADDITIONAL DETAILS IN THIS QUOTATION</t>
  </si>
  <si>
    <t>PR2526-03414</t>
  </si>
  <si>
    <t>PO2526-04702</t>
  </si>
  <si>
    <t>V1000952 - THAI GLOBAL BUSINESS DEVELOPMENT CO.,LTD.</t>
  </si>
  <si>
    <t>PR2526-03415</t>
  </si>
  <si>
    <t>PO2526-04703</t>
  </si>
  <si>
    <t>PO2526-04688</t>
  </si>
  <si>
    <t>V1000718 - PP SYSTEMS COMPANY LIMITED</t>
  </si>
  <si>
    <t>PhoenixTM 20 Channel Food System
Ref QT SO-2509176</t>
  </si>
  <si>
    <t>TXR -S-TX RF Telemetry system comprises Co-ordinator,Router,Antenna LT and Data Logger transmitter module .ETC
Ref QT SO-2509176</t>
  </si>
  <si>
    <t>PO2526-04608</t>
  </si>
  <si>
    <t>V1000302 - AJ KITCHEN &amp; SERVICE CO.,LTD</t>
  </si>
  <si>
    <t>PO2526-04689</t>
  </si>
  <si>
    <t>V1000937 - HKS HI-END KITCHENS SPECIALISTS COMPANY LIMITED</t>
  </si>
  <si>
    <t>PO2526-04607</t>
  </si>
  <si>
    <t>V1000287 - SIAM STAINLESS &amp; FURNITURE CO., LTD.</t>
  </si>
  <si>
    <t>PO2526-04684</t>
  </si>
  <si>
    <t>V1000948 - SIAM INTERMAGNATE CO., LTD.</t>
  </si>
  <si>
    <t xml:space="preserve">PO2526-04685 </t>
  </si>
  <si>
    <t>V1000255 - Micropure Co.,ltd.</t>
  </si>
  <si>
    <t>PO2526-04686</t>
  </si>
  <si>
    <t>ค่าขนส่งทั่วไป</t>
  </si>
  <si>
    <t>Customer_Group</t>
  </si>
  <si>
    <t>PD</t>
  </si>
  <si>
    <t xml:space="preserve">WH </t>
  </si>
  <si>
    <t>QA</t>
  </si>
  <si>
    <t>QC</t>
  </si>
  <si>
    <t>MN</t>
  </si>
  <si>
    <t>PR2526-03384</t>
  </si>
  <si>
    <t>(blank)</t>
  </si>
  <si>
    <t>Column1</t>
  </si>
  <si>
    <t>Column12</t>
  </si>
  <si>
    <t>Column13</t>
  </si>
  <si>
    <t>Column14</t>
  </si>
  <si>
    <t>Remaining</t>
  </si>
  <si>
    <t>GRN2526-0005920</t>
  </si>
  <si>
    <t>GRN2526-0005921</t>
  </si>
  <si>
    <t>PR2526-03625</t>
  </si>
  <si>
    <t>PR2526-03626</t>
  </si>
  <si>
    <t>PO2526-05018</t>
  </si>
  <si>
    <t>V1000058 - Srisahakij Supply Co., Ltd.</t>
  </si>
  <si>
    <t>ลังพลาสติกโปร่ง No.1028 สีเหลือง</t>
  </si>
  <si>
    <t>ลังพลาสติกโปร่ง No.1028 สีน้ำเงิน</t>
  </si>
  <si>
    <t>PR2526-03635</t>
  </si>
  <si>
    <t>SFST81000081</t>
  </si>
  <si>
    <t>กำจัดสินค้าเสื่อมสภาพ</t>
  </si>
  <si>
    <t>PR2526-03681</t>
  </si>
  <si>
    <t>Chopping board Food-grade plastic 22 x 30 TK. 2 CM
- Cer. Food grade</t>
  </si>
  <si>
    <t>PO2526-05002</t>
  </si>
  <si>
    <t>V1000059 - Kansai Inter Trade Co., Ltd.</t>
  </si>
  <si>
    <t>PR2526-03682</t>
  </si>
  <si>
    <t>PR2526-03741</t>
  </si>
  <si>
    <t>SFST81000064</t>
  </si>
  <si>
    <t>Seafood Freezer 2 (Probe)</t>
  </si>
  <si>
    <t>Seafood Freezer 2 (Display)</t>
  </si>
  <si>
    <t>Chicken Freezer 2 UC.2 (Probe)</t>
  </si>
  <si>
    <t>Chicken Freezer 2 UC.2 (Display)</t>
  </si>
  <si>
    <t>Chicken Freezer 1 UC.2 (Probe)</t>
  </si>
  <si>
    <t>Chicken Freezer 1 UC.2 (Display)</t>
  </si>
  <si>
    <t>Out going WH 5 (Probe)</t>
  </si>
  <si>
    <t>Out going WH 5 (Display)</t>
  </si>
  <si>
    <t>Out going WH 7 (Probe)</t>
  </si>
  <si>
    <t>Out going WH 7 (Display)</t>
  </si>
  <si>
    <t>On-Site at your Factory
(ค่าเดินทางไปสอบเทียบ วันที่ 17/12/68)</t>
  </si>
  <si>
    <t>Basin with holes 40 CM Brand: Seagull</t>
  </si>
  <si>
    <t>PR2526-03746</t>
  </si>
  <si>
    <t>Pot and Cover pot 30 Jiter Brand: Seagull</t>
  </si>
  <si>
    <t>PR2526-03747</t>
  </si>
  <si>
    <t>Pot and Cover pot 60 liter Brand: Seagull</t>
  </si>
  <si>
    <t>PO2526-04826</t>
  </si>
  <si>
    <t>V1000107 - INSPIRE MACH CO., LTD.</t>
  </si>
  <si>
    <t>PO2526-05072</t>
  </si>
  <si>
    <t>V1000210 - U.P. MARKETING GENERAL SUPPLY CO., LTD.</t>
  </si>
  <si>
    <t>PO2526-05073</t>
  </si>
  <si>
    <t>V1000211 - NT CHEMICAL CO.,LTD.</t>
  </si>
  <si>
    <t>PO2526-04723</t>
  </si>
  <si>
    <t>V1000887 - MAYEKAWA (THAILAND) COMPANY LIMITED</t>
  </si>
  <si>
    <t>GRN2526-0006110</t>
  </si>
  <si>
    <t>GRN2526-0006171</t>
  </si>
  <si>
    <t>PO2526-05158</t>
  </si>
  <si>
    <t>V1000968 - G.T. GENERAL PROJECT CO., LTD.</t>
  </si>
  <si>
    <t>GRN2526-0006203</t>
  </si>
  <si>
    <t>PR2526-03844</t>
  </si>
  <si>
    <t>GN Pan Size 2/1 and Cover 6.5-100 Cm. 503201 SUS201</t>
  </si>
  <si>
    <t>Cover for GN 2/1
SUS201</t>
  </si>
  <si>
    <t>Hand scrapers PLASTIC SCRAPER MODEL SN4051</t>
  </si>
  <si>
    <t>Colander (one piese skimmer 18 cm) 302.118</t>
  </si>
  <si>
    <t>Colander (filter) 22 cm #303.022</t>
  </si>
  <si>
    <t>Big Stainlass Egg Whisk Big whisk 8 wires 100 cm.</t>
  </si>
  <si>
    <t>Basin with holes 1/2 x 100 Perforated GN12100P</t>
  </si>
  <si>
    <t>Small Stainlass Egg Whisk 12 wires 40 cm</t>
  </si>
  <si>
    <t>Spoon KK-MCHS54</t>
  </si>
  <si>
    <t>Stainless steel bowl KK-MBP05 29-30 cm</t>
  </si>
  <si>
    <t>Stainless Ladel 0.5 oz.</t>
  </si>
  <si>
    <t>Stainless Ladel 1.0 oz.</t>
  </si>
  <si>
    <t>Stainless Ladel 1.5 oz.</t>
  </si>
  <si>
    <t>Scale PRC1-KK-MJ250</t>
  </si>
  <si>
    <t>GRN2526-0006408</t>
  </si>
  <si>
    <t>GRN2526-0006426</t>
  </si>
  <si>
    <t>PO2526-05349</t>
  </si>
  <si>
    <t>PR2526-03853</t>
  </si>
  <si>
    <t>PO2526-05350</t>
  </si>
  <si>
    <t>Short spatula มีขอบ</t>
  </si>
  <si>
    <t>Short spatula ไม่มีขอบ</t>
  </si>
  <si>
    <t>Dipper (ขันตักซุป)</t>
  </si>
  <si>
    <t>Long spatula</t>
  </si>
  <si>
    <t>PR2526-03859</t>
  </si>
  <si>
    <t>PR2526-03860</t>
  </si>
  <si>
    <t>Trolley GN Pan Size 2/1</t>
  </si>
  <si>
    <t>Wheel pot 60 liter</t>
  </si>
  <si>
    <t>Wheel pot 30 liter</t>
  </si>
  <si>
    <t>Basket wheel</t>
  </si>
  <si>
    <t>Chlorine bath for soaking</t>
  </si>
  <si>
    <t>Food tray tables</t>
  </si>
  <si>
    <t>Wheel weigh</t>
  </si>
  <si>
    <t>Pot support wheels</t>
  </si>
  <si>
    <t>Blanch basket 20 mm.</t>
  </si>
  <si>
    <t>Blanch basket 10 mm</t>
  </si>
  <si>
    <t>Report writing desk</t>
  </si>
  <si>
    <t>Garbage bag frame</t>
  </si>
  <si>
    <t>Condemn box</t>
  </si>
  <si>
    <t>Chemical storage cabinet</t>
  </si>
  <si>
    <t>Shelf of equipment (70x145x160)</t>
  </si>
  <si>
    <t>Blanch car (รถเข็นล้างวัตถุดิบ)</t>
  </si>
  <si>
    <t>Shelve for Batching size 700x2000x1500 mm</t>
  </si>
  <si>
    <t xml:space="preserve">PO2526-05353 </t>
  </si>
  <si>
    <t>สินค้าเสื่อมสภาพ</t>
  </si>
  <si>
    <t>PR2526-03955</t>
  </si>
  <si>
    <t>Tissue box Kimberly-Clark White 69530</t>
  </si>
  <si>
    <t>Alcohol Dispenser/Sprayer PURE SERV PS-305AS</t>
  </si>
  <si>
    <t>PR2526-03956</t>
  </si>
  <si>
    <t>PO2526-05391</t>
  </si>
  <si>
    <t>Sample Foil lid for CPET tray (roll form)
Size: 23micron x 210mmW x 500mL
Color: emboss &amp; no printing</t>
  </si>
  <si>
    <t>Size: 30micron x 210mmW x 500mL
Color: emboss &amp; no printing</t>
  </si>
  <si>
    <t>Size: 40micron x 210mmW x 500mL
Color: emboss &amp; no printing</t>
  </si>
  <si>
    <t>Size: 40micron x 210mmW x 500mL
Color:  plain - no emboss &amp; no printing</t>
  </si>
  <si>
    <t>V1000857 - MITSUI &amp; CO., (THAILAND) LTD.</t>
  </si>
  <si>
    <t>PR2526-03965</t>
  </si>
  <si>
    <t>Pac B-50</t>
  </si>
  <si>
    <t>Cationic polymer (15 Kgs/Bag)</t>
  </si>
  <si>
    <t>Anionic polymer (15 Kgs/Bag)</t>
  </si>
  <si>
    <t>Anifoam (20 Kgs/Tank)</t>
  </si>
  <si>
    <t>PO2526-05107</t>
  </si>
  <si>
    <t>V1000060 - TRIO MASS CO., LTD.</t>
  </si>
  <si>
    <t xml:space="preserve">PO2526-05108 </t>
  </si>
  <si>
    <t>V1000166 - Office Of The National Broadcasting and Telecommunications Commission</t>
  </si>
  <si>
    <t>PO2526-05109</t>
  </si>
  <si>
    <t>PO2526-05110</t>
  </si>
  <si>
    <t>V1000488 - บริษัท เทพ อินโนเวชั่น จำกัด</t>
  </si>
  <si>
    <t>PO2526-05111</t>
  </si>
  <si>
    <t>V1000746 - AT PACKING COMPANY LIMITED</t>
  </si>
  <si>
    <t xml:space="preserve">PO2526-05366 </t>
  </si>
  <si>
    <t>V1000974 - VIRAVAN INTERNATIONAL CO.,LTD</t>
  </si>
  <si>
    <t>PO2526-05212</t>
  </si>
  <si>
    <t>PO2526-05213</t>
  </si>
  <si>
    <t>V1000971 - SNR COOLING AND TRADING CO.,LTD.</t>
  </si>
  <si>
    <t>PO2526-05112</t>
  </si>
  <si>
    <t>PO2526-05162</t>
  </si>
  <si>
    <t>V1000068 - Thanawan Cooler Co.,Ltd.</t>
  </si>
  <si>
    <t>PO2526-05367</t>
  </si>
  <si>
    <t>V1000713 - MEESOOKPONGTHAI LIMITED PARTNERSHIP</t>
  </si>
  <si>
    <t>PO2526-05027</t>
  </si>
  <si>
    <t>PO2526-05037</t>
  </si>
  <si>
    <t>PO2526-05028</t>
  </si>
  <si>
    <t>V1000459 - SOPON LAB CENTER CO.,LTD.</t>
  </si>
  <si>
    <t>Consistometer sample 75 ml. #24925-000 (Bostwick)</t>
  </si>
  <si>
    <t>PO2526-05029</t>
  </si>
  <si>
    <t>PO2526-05031</t>
  </si>
  <si>
    <t>V1000661 - SRIVARA STATIONARY CO., LTD.</t>
  </si>
  <si>
    <t>PO2526-05032</t>
  </si>
  <si>
    <t>Digital Balance "AND" HT-500 (500g.)
-รับประกันเครื่องชั่ง 1 ปี แบตเตอรี่ 6 เดือน
-แถมใบสอบเทียบเครื่องชั่ง (Calibration Report)</t>
  </si>
  <si>
    <t>PO2526-05034</t>
  </si>
  <si>
    <t>V1000072 - SUPER SCALES SOLUTION CO., LTD.</t>
  </si>
  <si>
    <t>เครื่องชั่ง SEIDO Model: DW-II-6K
-ขนาดพิกัด 6000 กรัม ค่าละเอียด 1 กรัม
-รับประกัน 1 ปี พร้อมอะไหล่
-พร้อมใบสอบเทียบ</t>
  </si>
  <si>
    <t>PO2526-05035</t>
  </si>
  <si>
    <t>Digital Balance "AZANO" Model: NSW-4252-150K
-ขนาดพิกัด 150 kg. ค่าละเอียด 0.02 kg.
-รับประกัน 1 ปี พร้อมอะไหล่
-แถมฟรีใบ Certificate ISO/IE17025</t>
  </si>
  <si>
    <t>V1000288 - Siam Scale &amp; Engineering Co.,ltd.</t>
  </si>
  <si>
    <t>PO2526-05036</t>
  </si>
  <si>
    <t>License for Walkie Talkie ICOM-86 FX</t>
  </si>
  <si>
    <t>Freezer HAIER รุ่น HCF-568DP size 18.3 คิว (519 liter)
-รับประกันความเย็น 3 ปี
-รับประกันคอมเพรสเซอร์ 10 ปี</t>
  </si>
  <si>
    <t xml:space="preserve">PO2526-05038 </t>
  </si>
  <si>
    <t>โต๊ะสแตนเลสมีล้อ ขนาด 510x760x980 mm.
-รับประกัน 1 ปี
-มีใบ Certificate</t>
  </si>
  <si>
    <t>PO2526-05339</t>
  </si>
  <si>
    <t>Pallet: EHL 1012 HY Gray
USAGE: SINGLE-FACE, 4 WAYS ENTRY
Size: 1000x1200x160 mm.
Loading 6,000 kgs. Static Load
- 1,500 kgs. Dynamic Load.
- 1,000 kgs. Racking Load</t>
  </si>
  <si>
    <t>V1000973 - Winner Inter Plas Co.,Ltd.</t>
  </si>
  <si>
    <t>PO2526-05334</t>
  </si>
  <si>
    <t>Temporary Forklift rental 3 Month
Secondhand SUMITOMO Battery Counter Type Forklift Model 8FB25PXIII-V400
Maximum Loading 2500 Kg.
Maximum Lifting Height 4000 mm.
Mast Lower Height 2620 mm.
Battery Lead Acid 48V,580AH Usage Limit per Month 250 Hours</t>
  </si>
  <si>
    <t>V1000175 - บริษัท พลิค คอร์ปอเรชั่น จำกัด</t>
  </si>
  <si>
    <t>PO2526-05267</t>
  </si>
  <si>
    <t>V1000966 - SMART TECH CALIBRATION &amp; SERVICES CO., LTD.</t>
  </si>
  <si>
    <t>PO2526-05268</t>
  </si>
  <si>
    <t>V1000022 - THAI STAINLESS STEEL CO.,LTD.</t>
  </si>
  <si>
    <t>PO2526-05269</t>
  </si>
  <si>
    <t>Sunford เครื่องชั่ง WSS30KS 
(จอ LED): WSS30KSLED 
ตั้งค่า 3kg/0.2g จำนวน 228 เครื่อง
ฟรี ISO17025 Certificate of Calibration
- Sunford เครื่องชั่ง WSS30KS 
(จอ LED): WSS30KSLED 
ตั้งค่า 10kg/1g จำนวน 20 เครื่อง
ฟรี ISO17025 Certificate of Calibration</t>
  </si>
  <si>
    <t>Sunford ชิ้นส่วน-Platform TSS 5060 
ติดตั้งหัวอ่าน WP31E IP67
ตังค่าพิกัด 300/10kg พร้อมBT
ฟรี ISO17025 Certificate of Calibration</t>
  </si>
  <si>
    <t>GRN2526-0006687</t>
  </si>
  <si>
    <t>GRN2526-0006771</t>
  </si>
  <si>
    <t>GRN2526-0006772</t>
  </si>
  <si>
    <t>GRN2526-0006773</t>
  </si>
  <si>
    <t>PR2526-04050</t>
  </si>
  <si>
    <t>กรวยบอกทิศทางลม 50*200 cm. แถบสะท้อนแสง 3 แถบ</t>
  </si>
  <si>
    <t>เสา+โครงกรวยลม 2 เมตร</t>
  </si>
  <si>
    <t>PO2526-05615</t>
  </si>
  <si>
    <t>V1000556 - Team Safety Sales Co., Ltd.</t>
  </si>
  <si>
    <t>PR2526-04291</t>
  </si>
  <si>
    <t>PR2526-04292</t>
  </si>
  <si>
    <t>ราคาขายเงินสดเฉพาะหัวเก๋ง-คัสซี (รวมภาษีมูลค่าเพิ่ม)</t>
  </si>
  <si>
    <t>ราคาตู้บรรทุก พร้อมเครื่องทำความเย็น (รวมภาษีมูลค่าเพิ่ม)</t>
  </si>
  <si>
    <t>GRN2526-0006918</t>
  </si>
  <si>
    <t>PO2526-05617</t>
  </si>
  <si>
    <t>GRN2526-0007102</t>
  </si>
  <si>
    <t>GRN2526-0007103</t>
  </si>
  <si>
    <t>GRN2526-0007104</t>
  </si>
  <si>
    <t>GRN2526-0007105</t>
  </si>
  <si>
    <t>GRN2526-0007106</t>
  </si>
  <si>
    <t>GRN2526-0007107</t>
  </si>
  <si>
    <t>GRN2526-0007112</t>
  </si>
  <si>
    <t>GRN2526-0007143</t>
  </si>
  <si>
    <t>GRN2526-0007144</t>
  </si>
  <si>
    <t>GRN2526-0007145</t>
  </si>
  <si>
    <t>GRN2526-0007146</t>
  </si>
  <si>
    <t>GRN2526-0006626,GRN2526-0007179</t>
  </si>
  <si>
    <t>PR2526-04358</t>
  </si>
  <si>
    <t>Hand Fresh-66</t>
  </si>
  <si>
    <t>Click 10</t>
  </si>
  <si>
    <t>Quorum Pink II HF</t>
  </si>
  <si>
    <t>Topax 91-66</t>
  </si>
  <si>
    <t>MIP Liquid</t>
  </si>
  <si>
    <t>Rinse Dry</t>
  </si>
  <si>
    <t>Drum</t>
  </si>
  <si>
    <t>PO2526-05943</t>
  </si>
  <si>
    <t>GRN2526-0007187</t>
  </si>
  <si>
    <t>"NTS" SALAD SPOON MODEL CAD1-28</t>
  </si>
  <si>
    <t>Stainless steel bowl S/S Mixing bowl 5 QT #KK-MBR05</t>
  </si>
  <si>
    <t>"NTS" 24 OZ ICE SCOOP S/S 304 MODEL ISC2-24</t>
  </si>
  <si>
    <t>GRN2526-0007251</t>
  </si>
  <si>
    <t>GRN2526-0006169,GRN2526-0007259</t>
  </si>
  <si>
    <t>GRN2526-0006169,GRN2526-0007260</t>
  </si>
  <si>
    <t>GRN2526-0006169,GRN2526-0007255,GRN2526-0007262</t>
  </si>
  <si>
    <t>GRN2526-0006169,GRN2526-0007258,GRN2526-0007263</t>
  </si>
  <si>
    <t>GRN2526-0006169,GRN2526-0007264</t>
  </si>
  <si>
    <t>PR2526-04388</t>
  </si>
  <si>
    <t>PO2526-06046</t>
  </si>
  <si>
    <t>PR2526-04400</t>
  </si>
  <si>
    <t>ถุงกระสอบตัด บรรจุ 1000 KG ถุงบิ๊กแบ็ก ถุงจัมโบ้ เปิดก้นถุงได้</t>
  </si>
  <si>
    <t>PR2526-04392</t>
  </si>
  <si>
    <t>Additional Thawing Tray (No.4)
Size: 540x755x40 mm.
Material: SUS.304
R-bar Dia.S/16", 1/8" SUS.304
As per Drawing Micropure No. TWTR5378-4
Stainless Steel Nikel 8 %
Remark: Change this R-bar Dia.5/16"</t>
  </si>
  <si>
    <t>GRN2526-0007333</t>
  </si>
  <si>
    <t>Safety</t>
  </si>
  <si>
    <t>PO2526-05594</t>
  </si>
  <si>
    <t>V1000953 - GK FINECHEM CO., LTD.</t>
  </si>
  <si>
    <t>GRN2526-0006920</t>
  </si>
  <si>
    <t>GRN2526-0006921</t>
  </si>
  <si>
    <t>PO2526-05621</t>
  </si>
  <si>
    <t>V1000980 - Siamworachak Electric Co.,Ltd.</t>
  </si>
  <si>
    <t>PO2526-05214</t>
  </si>
  <si>
    <t>V1000106 - DIXELL (ASIA) COMPANY LIMITED</t>
  </si>
  <si>
    <t>GRN2526-0006692</t>
  </si>
  <si>
    <t>PO2526-05997</t>
  </si>
  <si>
    <t>HELI NEW BATTERY COUNTER TYPE
Modl: CPD25-A7LIH2-ZSM600</t>
  </si>
  <si>
    <t>PO2526-06049</t>
  </si>
  <si>
    <t>V1000837 - M PROSPER CO., LTD.</t>
  </si>
  <si>
    <t>PO2526-06050</t>
  </si>
  <si>
    <t>V1000048 - Pure Serv Co., Ltd.</t>
  </si>
  <si>
    <t>PO2526-05977</t>
  </si>
  <si>
    <t>V1000994 - SOON LEE MAHACHAI (1991) CO.,LTD.</t>
  </si>
  <si>
    <t>WH</t>
  </si>
  <si>
    <t>Column Labels</t>
  </si>
  <si>
    <t>GRN2526-0006169,GRN2526-0007256,GRN2526-0007350</t>
  </si>
  <si>
    <t>GRN2526-0007351</t>
  </si>
  <si>
    <t xml:space="preserve"> V1000786 - UNIQUE GAS &amp; PETROCHEMICALS PUBLIC COMPANY LIMITED</t>
  </si>
  <si>
    <t>GRN2526-0007588</t>
  </si>
  <si>
    <t>GRN2526-0006971</t>
  </si>
  <si>
    <t>PR2526-04467 </t>
  </si>
  <si>
    <t>PO2526-06332</t>
  </si>
  <si>
    <t>SFST81000018</t>
  </si>
  <si>
    <t>BOI operating costs for a mash potato MC</t>
  </si>
  <si>
    <t>V1000782 - Forefront Foodtech Co.,Ltd.</t>
  </si>
  <si>
    <t>PO2526-06302 </t>
  </si>
  <si>
    <t>PR2526-04577</t>
  </si>
  <si>
    <t xml:space="preserve">PO2526-06404 </t>
  </si>
  <si>
    <t>Sodium Hypochlorite 10%</t>
  </si>
  <si>
    <t>Kuriverter N-501</t>
  </si>
  <si>
    <t>Kuriverter N-101</t>
  </si>
  <si>
    <t>PR2526-04580</t>
  </si>
  <si>
    <t>Brand: AIMI
Material: Stainless 304
Power Supply 220V 50HZ 240W
Air supply ≥ 6kg/cm² (0.4m³/min)
Carton size L200-500 x W150-400 x H120-400mm
Speed 10-12 cases/min
Tape W48-75mm x 900yard (paper core) 75mm
Side Tape Length 50-70 mm
Carton storage 60-80 (pcs)
Table Height ≥ 600mm
Machine Size L1900×W2080xH1492mm
Machine Weight 400Kg</t>
  </si>
  <si>
    <t>ชุดต่อระบบลม ตัวล็อคชนิดเฟอรูล S304 ท่อลมออก 8 mm + ท่อลม 8mm*10M (ไม่คิดมูลค่า เฉพาะชุดนี้เท่านั้น)
ค่าบริการเคลื่อนย้ายและติดตั้งเครื่องจากอาคารใหม่ไป
อาคารเดิม โดยรถ 6 ล้อ แบบเปิดข้างและท้ายแบบลิฟต์ปรับ ระดับได้ พร้อมแฮนด์ลิฟต์</t>
  </si>
  <si>
    <t>GRN2526-0007591</t>
  </si>
  <si>
    <t>GRN2526-0007592</t>
  </si>
  <si>
    <t>GRN2526-0007593</t>
  </si>
  <si>
    <t>GRN2526-0007594</t>
  </si>
  <si>
    <t>GRN2526-0007595</t>
  </si>
  <si>
    <t>GRN2526-0007596</t>
  </si>
  <si>
    <t>GRN2526-0007597</t>
  </si>
  <si>
    <t>GRN2526-0007598</t>
  </si>
  <si>
    <t>GRN2526-0006169,GRN2526-0007257,GRN2526-0007602</t>
  </si>
  <si>
    <t>GRN2526-0006168,GRN2526-0007261,GRN2526-0007604</t>
  </si>
  <si>
    <t>GRN2526-0007605</t>
  </si>
  <si>
    <t>GRN2526-0007798</t>
  </si>
  <si>
    <t>PR2526-04647</t>
  </si>
  <si>
    <t>หน้ากากเต็มหน้า Honeywell รุ่น RU65001 เบอร์ M</t>
  </si>
  <si>
    <t>ตลับกรอง NORTH สำหรับสาร Ammonia และ Methylamine</t>
  </si>
  <si>
    <t>V1000224 - PHOL DHANYA PUBLIC CO.,LTD.</t>
  </si>
  <si>
    <t>PO2526-06518</t>
  </si>
  <si>
    <t>ชุดป้องกันสารเคมี กันฝุ่น Best Safe รุ่น Chem C Size XL</t>
  </si>
  <si>
    <t>ชุด PPE เกรดการแพทย์ ป้องกันเชื้อโรคใช้ได้ทั้งแพทย์และ กันสารเคมี
- Size L = 4
- Size XL = 4</t>
  </si>
  <si>
    <t>PO2526-06517</t>
  </si>
  <si>
    <t>PR2526-04649</t>
  </si>
  <si>
    <t>V1000975 - PNT INTERNATIONAL COMPANY LIMITED</t>
  </si>
  <si>
    <t>เสื้อรุ่น Overcoat สีกรมท่า ใย 300G. สาหรับความเย็น -6°C ถึง -20°C
- Size M</t>
  </si>
  <si>
    <t>เสื้อรุ่น Overcoat สีกรมท่า ใย 300G. สาหรับความเย็น -6°C ถึง -20°C
- Size L</t>
  </si>
  <si>
    <t>เสื้อรุ่น Overcoat สีกรมท่า ใย 300G. สาหรับความเย็น -6°C ถึง -20°C
- Size XL</t>
  </si>
  <si>
    <t>IT</t>
  </si>
  <si>
    <t>PR2526-04702</t>
  </si>
  <si>
    <t>PAC B-50</t>
  </si>
  <si>
    <t>CATIONIC POLYMER</t>
  </si>
  <si>
    <t>ANIONIC POLYMER</t>
  </si>
  <si>
    <t>ANTIFOAM</t>
  </si>
  <si>
    <t>SODIUM HYDROXIDE 50%</t>
  </si>
  <si>
    <t>PR2526-04703</t>
  </si>
  <si>
    <t>Lath Brush Green
size W50XTHK80(Slop)xTL250 mm
Fills: PP 0.8 mm
Body: Plastic Engineering</t>
  </si>
  <si>
    <t>PR2526-04704</t>
  </si>
  <si>
    <t>Boiler Mate IS-102 ΤΗΝ</t>
  </si>
  <si>
    <t>PR2526-04706</t>
  </si>
  <si>
    <t>OKU-D-OK-20BW10 พัดลมระบายอากาศ 20" + ท่อ 10 เมตร</t>
  </si>
  <si>
    <t>Short Needle Thermocouple, Taper</t>
  </si>
  <si>
    <t>Collar, Diameter 1.6mm / 40mm Long, Type K - 3.5m long Needle Thermocouple calibration at -15°C, 95°C, 98°C,  100°C
Ref . QT SO-2510048</t>
  </si>
  <si>
    <t>PO2526-04691</t>
  </si>
  <si>
    <t>PO2526-04692</t>
  </si>
  <si>
    <t>5 DAYS TEMPERATURE PROFILE LOAN 20 CH.</t>
  </si>
  <si>
    <t>5 DAYS TEMPERATURE PROFILE LOAN 20 CH. (Additional per Day)</t>
  </si>
  <si>
    <t>GRN2526-0007830</t>
  </si>
  <si>
    <t>GRN2526-0005965</t>
  </si>
  <si>
    <t>รับGRN By QA</t>
  </si>
  <si>
    <t>PO2526-06291</t>
  </si>
  <si>
    <t>GRN2526-0007834</t>
  </si>
  <si>
    <t>V1000729 - BN SUPPLY 1991 CO., LTD.</t>
  </si>
  <si>
    <t>PR2526-04732</t>
  </si>
  <si>
    <t>เตรื่องชงกาแฟอัตโนมัติ ELE E7EC1-600P</t>
  </si>
  <si>
    <t>PO2526-06544</t>
  </si>
  <si>
    <t>GRN2526-0007888</t>
  </si>
  <si>
    <t>GRN2526-0007993</t>
  </si>
  <si>
    <t>PO2526-06576</t>
  </si>
  <si>
    <t>V1001013 - AIMI CO., LTD.</t>
  </si>
  <si>
    <t>PO2526-06485</t>
  </si>
  <si>
    <t>PO2526-06601</t>
  </si>
  <si>
    <t xml:space="preserve">PO2526-06600 </t>
  </si>
  <si>
    <t>V1000100 - VIRIYA TECHNOLOGY CO., LTD.</t>
  </si>
  <si>
    <t xml:space="preserve">PO2526-06604 </t>
  </si>
  <si>
    <t>V1000621 - Thai Phattanasin Machine Tools Ltd., Part.</t>
  </si>
  <si>
    <t>PO2526-06640</t>
  </si>
  <si>
    <t>V1000869 - HOME PRODUCT CENTER PUBLIC COMPANY LIMITED</t>
  </si>
  <si>
    <t>GRN2526-0008028</t>
  </si>
  <si>
    <t>GRN2526-0008030</t>
  </si>
  <si>
    <t>PR2526-04815</t>
  </si>
  <si>
    <t>Sample Foil lid for CPET tray (roll form)
1 Size: 40micron x 210mmW x 500mL
Color: emboss &amp; no printing</t>
  </si>
  <si>
    <t>Roll</t>
  </si>
  <si>
    <t>GRN2526-0008043</t>
  </si>
  <si>
    <t>PO2526-06701</t>
  </si>
  <si>
    <t>GRN2526-0008093</t>
  </si>
  <si>
    <t>PR2526-04840</t>
  </si>
  <si>
    <t>RANGER SAFETY หมวกเซฟตี้ มอก ปรับหมุน สาย ไนล่อน 4 จุด (สีเหลือง) มอก 368-2562</t>
  </si>
  <si>
    <t>GR-6666PK สีเขียว เสื้อสะท้อนแสง คาดแถบสะท้อนแสง YAMADA</t>
  </si>
  <si>
    <t>PR2526-04841</t>
  </si>
  <si>
    <t>GRN2526-0008170</t>
  </si>
  <si>
    <t>GRN2526-0008176</t>
  </si>
  <si>
    <t>GRN2526-0008177</t>
  </si>
  <si>
    <t>PO2526-06660</t>
  </si>
  <si>
    <t>V1001020 - MATKEM SYSTEM SUPPLY &amp; ENGINEERING COMPANY LIMITED</t>
  </si>
  <si>
    <t>GRN2526-0008178</t>
  </si>
  <si>
    <t>GRN2526-0006106,GRN2526-0007375,GRN2526-0008277</t>
  </si>
  <si>
    <t>Column122</t>
  </si>
  <si>
    <t>GRN2526-0008297</t>
  </si>
  <si>
    <t>PR2526-04891</t>
  </si>
  <si>
    <t>PO2526-06815</t>
  </si>
  <si>
    <t>PR2526-04968</t>
  </si>
  <si>
    <t>Stainless steel trolley with tank. To keep and disinfect brooms/mops in the factory.
ที่เก็บอุปกรณ์สำหรับทำความสะอาด
material: SUS 304
Size 450x700x1730 mm.</t>
  </si>
  <si>
    <t>Stainless-steel cabinets to keep cleaning chemical
ตู้เก็บสารเคมี
material: SUS 304
ขนาด 400x1000x1000 mm.</t>
  </si>
  <si>
    <t xml:space="preserve">PO2526-06828 </t>
  </si>
  <si>
    <t>V1000065 - JENBUNJERD CO.,LTD.</t>
  </si>
  <si>
    <t>PO2526-06829</t>
  </si>
  <si>
    <t xml:space="preserve"> V1000556 - Team Safety Sales Co., Ltd.</t>
  </si>
  <si>
    <t>GRN2526-0008478</t>
  </si>
  <si>
    <t>GRN2526-0008479</t>
  </si>
  <si>
    <t>GRN2526-0008483</t>
  </si>
  <si>
    <t>PR2526-05048</t>
  </si>
  <si>
    <t>PO2526-07054</t>
  </si>
  <si>
    <t>TOPAX 16SF (DLD)</t>
  </si>
  <si>
    <t>TOPAX 91-66 (DLD)</t>
  </si>
  <si>
    <t xml:space="preserve"> V1000778 - ECOLAB CO., LTD.</t>
  </si>
  <si>
    <t>GRN2526-0008495</t>
  </si>
  <si>
    <t>GRN2526-0008676</t>
  </si>
  <si>
    <t>Sodium Chloride Grade A</t>
  </si>
  <si>
    <t>Kuriverter IK-501</t>
  </si>
  <si>
    <t>PR2526-05288</t>
  </si>
  <si>
    <t>PAC (ECO)</t>
  </si>
  <si>
    <t>SODIUM HYPOCHLORITE 10%</t>
  </si>
  <si>
    <t>kg.</t>
  </si>
  <si>
    <t>PO2526-06970</t>
  </si>
  <si>
    <t>PO2526-06998</t>
  </si>
  <si>
    <t>GRN2526-0009037</t>
  </si>
  <si>
    <t>GRN2526-0009047</t>
  </si>
  <si>
    <t>PR2526-05366</t>
  </si>
  <si>
    <t>PR2526-05437</t>
  </si>
  <si>
    <t>GRN2526-0009367</t>
  </si>
  <si>
    <t>PO2526-07606</t>
  </si>
  <si>
    <t>GRN2627-0000033</t>
  </si>
  <si>
    <t>GRN2627-0000034</t>
  </si>
  <si>
    <t>GRN2627-0000036</t>
  </si>
  <si>
    <t>PO2526-07733</t>
  </si>
  <si>
    <t>GRN2526-0009449</t>
  </si>
  <si>
    <t>PO2526-07734</t>
  </si>
  <si>
    <t>GRN2526-0008213,GRN2526-0008860,GRN2627-0000174</t>
  </si>
  <si>
    <t>PR2526-05436</t>
  </si>
  <si>
    <t>PO2526-07811</t>
  </si>
  <si>
    <t>ถุงจัมโบ้ Matai 1000KG. ขนาด 90x90x120 ถุงสีขาว หูถุงสีเบส มี 4 หู (ปิดปากถุงได้) (เทสินค้าออกก้นถุง)</t>
  </si>
  <si>
    <t>GRN2627-0000301</t>
  </si>
  <si>
    <t>PR2627-00065</t>
  </si>
  <si>
    <t>PO2627-00164</t>
  </si>
  <si>
    <t>ค่าเช่ารถ Forklift PLIC corporation</t>
  </si>
  <si>
    <t>Month.</t>
  </si>
  <si>
    <t>PR2627-00087</t>
  </si>
  <si>
    <t>ตู้อบจานสแตนเลส รุ่น TPM 450
ขนาดตู้ 500*480*1720 มม.
220 โวลล์ กำลังไฟ 900 วัตต์</t>
  </si>
  <si>
    <t>ค่าจัดส่ง</t>
  </si>
  <si>
    <t>PR2627-00088</t>
  </si>
  <si>
    <t>Can Opening Machine DC NORRIS # 160</t>
  </si>
  <si>
    <t>PR2627-00331</t>
  </si>
  <si>
    <t>FREE CHLORINE REAGENT SET</t>
  </si>
  <si>
    <t>TRANSPORTATION</t>
  </si>
  <si>
    <t>PO2627-00434</t>
  </si>
  <si>
    <t>V1001095 - TPM Mart Limited Partnership</t>
  </si>
  <si>
    <t>PO2627-00420</t>
  </si>
  <si>
    <t>V1000313 - Somerville (Siam) Co., Ltd.</t>
  </si>
  <si>
    <t>PR2627-00375</t>
  </si>
  <si>
    <t>PO2627-00787</t>
  </si>
  <si>
    <t>Plastic Basket No. 1028: Purple color Screen CHL 001 - 500</t>
  </si>
  <si>
    <t>Plastic Basket No. 1028: Orange color Screen DRY 301-400</t>
  </si>
  <si>
    <t>GRN2627-0001186</t>
  </si>
  <si>
    <t>PR2627-00524</t>
  </si>
  <si>
    <t>Temporary
(Forklift rental 1 month)</t>
  </si>
  <si>
    <t xml:space="preserve">PO2627-00887 </t>
  </si>
  <si>
    <t>GRN2627-0001370</t>
  </si>
  <si>
    <t>GRN2627-0001371</t>
  </si>
  <si>
    <t>GRN2627-0000032,GRN2627-0001453</t>
  </si>
  <si>
    <t>GRN2526-0005872,GRN2627-0001508</t>
  </si>
  <si>
    <t>GRN2627-0001463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</si>
</sst>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 #,##0.00_-;_-* &quot;-&quot;??_-;_-@_-"/>
    <numFmt numFmtId="165" formatCode="[$-409]d\-mmm\-yy;@"/>
    <numFmt numFmtId="166" formatCode="[$-409]dd\-mmm\-yy;@"/>
    <numFmt numFmtId="167" formatCode="0;[Red]0"/>
    <numFmt numFmtId="168" formatCode="#,##0.0"/>
  </numFmts>
  <fonts count="7" x14ac:knownFonts="1">
    <font>
      <sz val="11"/>
      <color theme="1"/>
      <name val="Aptos Narrow"/>
      <family val="2"/>
      <charset val="222"/>
      <scheme val="minor"/>
    </font>
    <font>
      <sz val="11"/>
      <color theme="1"/>
      <name val="Aptos Narrow"/>
      <family val="2"/>
      <scheme val="minor"/>
    </font>
    <font>
      <sz val="11"/>
      <color theme="1"/>
      <name val="Aptos Narrow"/>
      <family val="2"/>
      <charset val="222"/>
      <scheme val="minor"/>
    </font>
    <font>
      <sz val="10"/>
      <color theme="1"/>
      <name val="Aptos Narrow"/>
      <family val="2"/>
      <charset val="222"/>
      <scheme val="minor"/>
    </font>
    <font>
      <sz val="8"/>
      <name val="Aptos Narrow"/>
      <family val="2"/>
      <charset val="222"/>
      <scheme val="minor"/>
    </font>
    <font>
      <sz val="10"/>
      <color rgb="FF0070C0"/>
      <name val="Aptos Narrow"/>
      <family val="2"/>
      <charset val="222"/>
      <scheme val="minor"/>
    </font>
    <font>
      <sz val="10"/>
      <color theme="0"/>
      <name val="Aptos Narrow"/>
      <family val="2"/>
      <charset val="222"/>
      <scheme val="minor"/>
    </font>
  </fonts>
  <fills count="19">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rgb="FF00FF00"/>
        <bgColor indexed="64"/>
      </patternFill>
    </fill>
    <fill>
      <patternFill patternType="solid">
        <fgColor rgb="FFFF0000"/>
        <bgColor indexed="64"/>
      </patternFill>
    </fill>
    <fill>
      <patternFill patternType="solid">
        <fgColor theme="5" tint="0.39997558519241921"/>
        <bgColor indexed="64"/>
      </patternFill>
    </fill>
    <fill>
      <patternFill patternType="solid">
        <fgColor rgb="FFFF99FF"/>
        <bgColor indexed="64"/>
      </patternFill>
    </fill>
    <fill>
      <patternFill patternType="solid">
        <fgColor rgb="FF3399FF"/>
        <bgColor indexed="64"/>
      </patternFill>
    </fill>
    <fill>
      <patternFill patternType="solid">
        <fgColor theme="4" tint="0.79998168889431442"/>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3" tint="0.499984740745262"/>
        <bgColor indexed="64"/>
      </patternFill>
    </fill>
    <fill>
      <patternFill patternType="solid">
        <fgColor theme="6" tint="0.39997558519241921"/>
        <bgColor indexed="64"/>
      </patternFill>
    </fill>
    <fill>
      <patternFill patternType="solid">
        <fgColor rgb="FFFFCC66"/>
        <bgColor indexed="64"/>
      </patternFill>
    </fill>
    <fill>
      <patternFill patternType="solid">
        <fgColor rgb="FF996600"/>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theme="8"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theme="4"/>
      </bottom>
      <diagonal/>
    </border>
    <border>
      <left style="thin">
        <color indexed="64"/>
      </left>
      <right style="thin">
        <color indexed="64"/>
      </right>
      <top/>
      <bottom/>
      <diagonal/>
    </border>
    <border>
      <left style="thin">
        <color theme="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3">
    <xf numFmtId="0" fontId="0" fillId="0" borderId="0"/>
    <xf numFmtId="164" fontId="2" fillId="0" borderId="0" applyFont="0" applyFill="0" applyBorder="0" applyAlignment="0" applyProtection="0"/>
    <xf numFmtId="0" fontId="1" fillId="0" borderId="0"/>
  </cellStyleXfs>
  <cellXfs count="91">
    <xf numFmtId="0" fontId="0" fillId="0" borderId="0" xfId="0"/>
    <xf numFmtId="0" fontId="0" fillId="3" borderId="0" xfId="0" applyFill="1"/>
    <xf numFmtId="0" fontId="0" fillId="0" borderId="1" xfId="0" applyBorder="1"/>
    <xf numFmtId="0" fontId="0" fillId="3" borderId="1" xfId="0" applyFill="1" applyBorder="1"/>
    <xf numFmtId="0" fontId="0" fillId="4" borderId="1" xfId="0" applyFill="1" applyBorder="1"/>
    <xf numFmtId="0" fontId="0" fillId="2" borderId="1" xfId="0" applyFill="1" applyBorder="1"/>
    <xf numFmtId="0" fontId="0" fillId="5" borderId="1" xfId="0" applyFill="1" applyBorder="1"/>
    <xf numFmtId="0" fontId="0" fillId="6" borderId="1" xfId="0" applyFill="1" applyBorder="1"/>
    <xf numFmtId="0" fontId="0" fillId="7" borderId="1" xfId="0" applyFill="1" applyBorder="1"/>
    <xf numFmtId="0" fontId="0" fillId="8" borderId="1" xfId="0" applyFill="1" applyBorder="1"/>
    <xf numFmtId="0" fontId="0" fillId="0" borderId="1" xfId="0" pivotButton="1" applyBorder="1"/>
    <xf numFmtId="0" fontId="0" fillId="0" borderId="1" xfId="0" applyBorder="1" applyAlignment="1">
      <alignment horizontal="left"/>
    </xf>
    <xf numFmtId="168" fontId="0" fillId="0" borderId="1" xfId="0" applyNumberFormat="1" applyBorder="1"/>
    <xf numFmtId="0" fontId="0" fillId="0" borderId="1" xfId="0" applyBorder="1" applyAlignment="1">
      <alignment horizontal="center"/>
    </xf>
    <xf numFmtId="0" fontId="0" fillId="0" borderId="0" xfId="0" applyAlignment="1">
      <alignment horizontal="left"/>
    </xf>
    <xf numFmtId="168" fontId="0" fillId="0" borderId="0" xfId="0" applyNumberFormat="1"/>
    <xf numFmtId="0" fontId="0" fillId="0" borderId="6" xfId="0" applyBorder="1"/>
    <xf numFmtId="10" fontId="0" fillId="0" borderId="0" xfId="0" applyNumberFormat="1"/>
    <xf numFmtId="17" fontId="0" fillId="0" borderId="1" xfId="0" applyNumberFormat="1" applyBorder="1"/>
    <xf numFmtId="0" fontId="0" fillId="9" borderId="1" xfId="0" applyFill="1" applyBorder="1"/>
    <xf numFmtId="10" fontId="0" fillId="0" borderId="1" xfId="0" applyNumberFormat="1" applyBorder="1"/>
    <xf numFmtId="10" fontId="0" fillId="9" borderId="1" xfId="0" applyNumberFormat="1" applyFill="1" applyBorder="1"/>
    <xf numFmtId="0" fontId="0" fillId="0" borderId="0" xfId="0" applyAlignment="1">
      <alignment wrapText="1"/>
    </xf>
    <xf numFmtId="0" fontId="0" fillId="0" borderId="0" xfId="0" pivotButton="1" applyAlignment="1">
      <alignment wrapText="1"/>
    </xf>
    <xf numFmtId="0" fontId="0" fillId="0" borderId="0" xfId="0" applyAlignment="1">
      <alignment horizontal="left" wrapText="1"/>
    </xf>
    <xf numFmtId="164" fontId="0" fillId="0" borderId="0" xfId="0" applyNumberFormat="1" applyAlignment="1">
      <alignment wrapText="1"/>
    </xf>
    <xf numFmtId="0" fontId="3" fillId="0" borderId="6" xfId="0" applyFont="1" applyBorder="1" applyAlignment="1">
      <alignment horizontal="center" vertical="top"/>
    </xf>
    <xf numFmtId="165" fontId="3" fillId="0" borderId="1" xfId="0" applyNumberFormat="1" applyFont="1" applyBorder="1" applyAlignment="1">
      <alignment horizontal="center" vertical="top"/>
    </xf>
    <xf numFmtId="0" fontId="3" fillId="0" borderId="1" xfId="0" applyFont="1" applyBorder="1" applyAlignment="1">
      <alignment horizontal="center" vertical="top"/>
    </xf>
    <xf numFmtId="0" fontId="6" fillId="0" borderId="1" xfId="0" applyFont="1" applyBorder="1" applyAlignment="1">
      <alignment horizontal="center" vertical="top"/>
    </xf>
    <xf numFmtId="165" fontId="3" fillId="0" borderId="3" xfId="0" applyNumberFormat="1" applyFont="1" applyBorder="1" applyAlignment="1">
      <alignment horizontal="center" vertical="top"/>
    </xf>
    <xf numFmtId="0" fontId="3" fillId="0" borderId="1" xfId="0" applyFont="1" applyBorder="1" applyAlignment="1">
      <alignment horizontal="center" vertical="top" wrapText="1"/>
    </xf>
    <xf numFmtId="167" fontId="3" fillId="0" borderId="1" xfId="1" applyNumberFormat="1" applyFont="1" applyFill="1" applyBorder="1" applyAlignment="1">
      <alignment horizontal="left" vertical="top"/>
    </xf>
    <xf numFmtId="0" fontId="3" fillId="0" borderId="1" xfId="0" applyFont="1" applyBorder="1" applyAlignment="1">
      <alignment horizontal="left" vertical="top"/>
    </xf>
    <xf numFmtId="164" fontId="3" fillId="0" borderId="3" xfId="1" applyFont="1" applyFill="1" applyBorder="1" applyAlignment="1">
      <alignment horizontal="center" vertical="top"/>
    </xf>
    <xf numFmtId="166" fontId="3" fillId="0" borderId="1" xfId="0" applyNumberFormat="1" applyFont="1" applyBorder="1" applyAlignment="1">
      <alignment horizontal="center" vertical="top"/>
    </xf>
    <xf numFmtId="2" fontId="3" fillId="0" borderId="1" xfId="0" applyNumberFormat="1" applyFont="1" applyBorder="1" applyAlignment="1">
      <alignment horizontal="center" vertical="top"/>
    </xf>
    <xf numFmtId="165" fontId="3" fillId="2" borderId="1" xfId="0" applyNumberFormat="1" applyFont="1" applyFill="1" applyBorder="1" applyAlignment="1">
      <alignment horizontal="center" vertical="top"/>
    </xf>
    <xf numFmtId="0" fontId="5" fillId="2" borderId="1" xfId="0" applyFont="1" applyFill="1" applyBorder="1" applyAlignment="1">
      <alignment horizontal="center" vertical="top"/>
    </xf>
    <xf numFmtId="0" fontId="3" fillId="0" borderId="1" xfId="0" applyFont="1" applyBorder="1" applyAlignment="1">
      <alignment horizontal="left" vertical="top" wrapText="1"/>
    </xf>
    <xf numFmtId="167" fontId="3" fillId="0" borderId="1" xfId="1" applyNumberFormat="1" applyFont="1" applyFill="1" applyBorder="1" applyAlignment="1">
      <alignment horizontal="center" vertical="top"/>
    </xf>
    <xf numFmtId="164" fontId="3" fillId="0" borderId="1" xfId="0" applyNumberFormat="1" applyFont="1" applyBorder="1" applyAlignment="1">
      <alignment horizontal="center" vertical="top"/>
    </xf>
    <xf numFmtId="164" fontId="3" fillId="0" borderId="1" xfId="1" applyFont="1" applyFill="1" applyBorder="1" applyAlignment="1">
      <alignment vertical="top"/>
    </xf>
    <xf numFmtId="164" fontId="3" fillId="0" borderId="1" xfId="1" applyFont="1" applyFill="1" applyBorder="1" applyAlignment="1">
      <alignment horizontal="center" vertical="top"/>
    </xf>
    <xf numFmtId="0" fontId="3" fillId="4" borderId="1" xfId="0" applyFont="1" applyFill="1" applyBorder="1" applyAlignment="1">
      <alignment horizontal="center" vertical="top"/>
    </xf>
    <xf numFmtId="166" fontId="3" fillId="0" borderId="4" xfId="0" applyNumberFormat="1" applyFont="1" applyBorder="1" applyAlignment="1">
      <alignment horizontal="center" vertical="top"/>
    </xf>
    <xf numFmtId="2" fontId="3" fillId="10" borderId="1" xfId="0" applyNumberFormat="1" applyFont="1" applyFill="1" applyBorder="1" applyAlignment="1">
      <alignment horizontal="center" vertical="top"/>
    </xf>
    <xf numFmtId="166" fontId="3" fillId="10" borderId="1" xfId="0" applyNumberFormat="1" applyFont="1" applyFill="1" applyBorder="1" applyAlignment="1">
      <alignment horizontal="center" vertical="top"/>
    </xf>
    <xf numFmtId="0" fontId="3" fillId="10" borderId="2" xfId="0" applyFont="1" applyFill="1" applyBorder="1" applyAlignment="1">
      <alignment horizontal="center" vertical="top"/>
    </xf>
    <xf numFmtId="0" fontId="3" fillId="0" borderId="1" xfId="0" applyFont="1" applyBorder="1" applyAlignment="1">
      <alignment vertical="top"/>
    </xf>
    <xf numFmtId="165" fontId="3" fillId="0" borderId="7" xfId="0" applyNumberFormat="1" applyFont="1" applyBorder="1" applyAlignment="1">
      <alignment horizontal="center" vertical="top"/>
    </xf>
    <xf numFmtId="0" fontId="0" fillId="10" borderId="1" xfId="0" applyFill="1" applyBorder="1" applyAlignment="1">
      <alignment vertical="top"/>
    </xf>
    <xf numFmtId="0" fontId="3" fillId="0" borderId="5" xfId="0" applyFont="1" applyBorder="1" applyAlignment="1">
      <alignment horizontal="center" vertical="top"/>
    </xf>
    <xf numFmtId="0" fontId="5" fillId="0" borderId="1" xfId="0" applyFont="1" applyBorder="1" applyAlignment="1">
      <alignment horizontal="center" vertical="top"/>
    </xf>
    <xf numFmtId="0" fontId="0" fillId="0" borderId="1" xfId="0" applyBorder="1" applyAlignment="1">
      <alignment vertical="top"/>
    </xf>
    <xf numFmtId="165" fontId="5" fillId="2" borderId="1" xfId="0" applyNumberFormat="1" applyFont="1" applyFill="1" applyBorder="1" applyAlignment="1">
      <alignment horizontal="center" vertical="top"/>
    </xf>
    <xf numFmtId="166" fontId="3" fillId="10" borderId="2" xfId="0" applyNumberFormat="1" applyFont="1" applyFill="1" applyBorder="1" applyAlignment="1">
      <alignment horizontal="center" vertical="top"/>
    </xf>
    <xf numFmtId="164" fontId="3" fillId="11" borderId="1" xfId="1" applyFont="1" applyFill="1" applyBorder="1" applyAlignment="1">
      <alignment horizontal="center" vertical="top"/>
    </xf>
    <xf numFmtId="0" fontId="3" fillId="0" borderId="1" xfId="0" applyFont="1" applyBorder="1" applyAlignment="1">
      <alignment horizontal="center" vertical="center" wrapText="1"/>
    </xf>
    <xf numFmtId="164" fontId="3" fillId="9" borderId="1" xfId="1" applyFont="1" applyFill="1" applyBorder="1" applyAlignment="1">
      <alignment horizontal="center" vertical="top"/>
    </xf>
    <xf numFmtId="14" fontId="3" fillId="0" borderId="1" xfId="0" applyNumberFormat="1" applyFont="1" applyBorder="1" applyAlignment="1">
      <alignment horizontal="center" vertical="top"/>
    </xf>
    <xf numFmtId="164" fontId="3" fillId="9" borderId="1" xfId="1" applyFont="1" applyFill="1" applyBorder="1" applyAlignment="1">
      <alignment vertical="top"/>
    </xf>
    <xf numFmtId="14" fontId="3" fillId="0" borderId="1" xfId="0" applyNumberFormat="1" applyFont="1" applyBorder="1" applyAlignment="1">
      <alignment horizontal="center" vertical="top" wrapText="1"/>
    </xf>
    <xf numFmtId="14" fontId="3" fillId="0" borderId="1" xfId="0" applyNumberFormat="1" applyFont="1" applyBorder="1" applyAlignment="1">
      <alignment horizontal="left" vertical="top" wrapText="1"/>
    </xf>
    <xf numFmtId="0" fontId="0" fillId="15" borderId="1" xfId="0" applyFill="1" applyBorder="1" applyAlignment="1">
      <alignment wrapText="1"/>
    </xf>
    <xf numFmtId="0" fontId="0" fillId="12" borderId="1" xfId="0" applyFill="1" applyBorder="1" applyAlignment="1">
      <alignment wrapText="1"/>
    </xf>
    <xf numFmtId="0" fontId="0" fillId="13" borderId="1" xfId="0" applyFill="1" applyBorder="1" applyAlignment="1">
      <alignment wrapText="1"/>
    </xf>
    <xf numFmtId="0" fontId="0" fillId="7" borderId="1" xfId="0" applyFill="1" applyBorder="1" applyAlignment="1">
      <alignment wrapText="1"/>
    </xf>
    <xf numFmtId="0" fontId="0" fillId="5" borderId="1" xfId="0" applyFill="1" applyBorder="1" applyAlignment="1">
      <alignment wrapText="1"/>
    </xf>
    <xf numFmtId="0" fontId="0" fillId="14" borderId="1" xfId="0" applyFill="1" applyBorder="1" applyAlignment="1">
      <alignment wrapText="1"/>
    </xf>
    <xf numFmtId="0" fontId="0" fillId="2" borderId="1" xfId="0" applyFill="1" applyBorder="1" applyAlignment="1">
      <alignment wrapText="1"/>
    </xf>
    <xf numFmtId="0" fontId="0" fillId="0" borderId="1" xfId="0" applyBorder="1" applyAlignment="1">
      <alignment wrapText="1"/>
    </xf>
    <xf numFmtId="0" fontId="0" fillId="0" borderId="1" xfId="0" pivotButton="1" applyBorder="1" applyAlignment="1">
      <alignment wrapText="1"/>
    </xf>
    <xf numFmtId="0" fontId="0" fillId="16" borderId="1" xfId="0" applyFill="1" applyBorder="1" applyAlignment="1">
      <alignment wrapText="1"/>
    </xf>
    <xf numFmtId="164" fontId="3" fillId="17" borderId="1" xfId="1" applyFont="1" applyFill="1" applyBorder="1" applyAlignment="1">
      <alignment horizontal="center" vertical="top"/>
    </xf>
    <xf numFmtId="164" fontId="3" fillId="18" borderId="1" xfId="1" applyFont="1" applyFill="1" applyBorder="1" applyAlignment="1">
      <alignment horizontal="center" vertical="top"/>
    </xf>
    <xf numFmtId="0" fontId="3" fillId="0" borderId="4" xfId="0" applyFont="1" applyBorder="1" applyAlignment="1">
      <alignment horizontal="center" vertical="top"/>
    </xf>
    <xf numFmtId="165" fontId="3" fillId="2" borderId="4" xfId="0" applyNumberFormat="1" applyFont="1" applyFill="1" applyBorder="1" applyAlignment="1">
      <alignment horizontal="center" vertical="top"/>
    </xf>
    <xf numFmtId="0" fontId="5" fillId="2" borderId="4" xfId="0" applyFont="1" applyFill="1" applyBorder="1" applyAlignment="1">
      <alignment horizontal="center" vertical="top"/>
    </xf>
    <xf numFmtId="164" fontId="3" fillId="0" borderId="4" xfId="1" applyFont="1" applyFill="1" applyBorder="1" applyAlignment="1">
      <alignment vertical="top"/>
    </xf>
    <xf numFmtId="164" fontId="3" fillId="0" borderId="4" xfId="1" applyFont="1" applyFill="1" applyBorder="1" applyAlignment="1">
      <alignment horizontal="center" vertical="top"/>
    </xf>
    <xf numFmtId="0" fontId="3" fillId="10" borderId="8" xfId="0" applyFont="1" applyFill="1" applyBorder="1" applyAlignment="1">
      <alignment horizontal="center" vertical="top"/>
    </xf>
    <xf numFmtId="0" fontId="3" fillId="0" borderId="4" xfId="0" applyFont="1" applyBorder="1" applyAlignment="1">
      <alignment horizontal="left" vertical="top"/>
    </xf>
    <xf numFmtId="165" fontId="3" fillId="0" borderId="9" xfId="0" applyNumberFormat="1" applyFont="1" applyBorder="1" applyAlignment="1">
      <alignment horizontal="center" vertical="top"/>
    </xf>
    <xf numFmtId="0" fontId="3" fillId="0" borderId="4" xfId="0" applyFont="1" applyBorder="1" applyAlignment="1">
      <alignment horizontal="left" vertical="top" wrapText="1"/>
    </xf>
    <xf numFmtId="164" fontId="3" fillId="0" borderId="4" xfId="0" applyNumberFormat="1" applyFont="1" applyBorder="1" applyAlignment="1">
      <alignment horizontal="center" vertical="top"/>
    </xf>
    <xf numFmtId="2" fontId="3" fillId="10" borderId="4" xfId="0" applyNumberFormat="1" applyFont="1" applyFill="1" applyBorder="1" applyAlignment="1">
      <alignment horizontal="center" vertical="top"/>
    </xf>
    <xf numFmtId="166" fontId="3" fillId="10" borderId="4" xfId="0" applyNumberFormat="1" applyFont="1" applyFill="1" applyBorder="1" applyAlignment="1">
      <alignment horizontal="center" vertical="top"/>
    </xf>
    <xf numFmtId="166" fontId="3" fillId="10" borderId="8" xfId="0" applyNumberFormat="1" applyFont="1" applyFill="1" applyBorder="1" applyAlignment="1">
      <alignment horizontal="center" vertical="top"/>
    </xf>
    <xf numFmtId="167" fontId="3" fillId="0" borderId="4" xfId="0" applyNumberFormat="1" applyFont="1" applyBorder="1" applyAlignment="1">
      <alignment horizontal="center" vertical="top"/>
    </xf>
    <xf numFmtId="164" fontId="3" fillId="0" borderId="4" xfId="0" applyNumberFormat="1" applyFont="1" applyBorder="1" applyAlignment="1">
      <alignment vertical="top"/>
    </xf>
  </cellXfs>
  <cellStyles count="3">
    <cellStyle name="Comma" xfId="1" builtinId="3"/>
    <cellStyle name="Normal" xfId="0" builtinId="0"/>
    <cellStyle name="Normal 2" xfId="2" xr:uid="{070C8365-F614-4869-936F-A1B057A2D49B}"/>
  </cellStyles>
  <dxfs count="130">
    <dxf>
      <font>
        <b val="0"/>
        <i val="0"/>
        <strike val="0"/>
        <condense val="0"/>
        <extend val="0"/>
        <outline val="0"/>
        <shadow val="0"/>
        <u val="none"/>
        <vertAlign val="baseline"/>
        <sz val="10"/>
        <color theme="1"/>
        <name val="Aptos Narrow"/>
        <family val="2"/>
        <charset val="222"/>
        <scheme val="minor"/>
      </font>
      <fill>
        <patternFill patternType="solid">
          <fgColor indexed="64"/>
          <bgColor theme="3" tint="0.89999084444715716"/>
        </patternFill>
      </fill>
      <alignment horizontal="center" vertical="top"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theme="1"/>
        <name val="Aptos Narrow"/>
        <family val="2"/>
        <charset val="222"/>
        <scheme val="minor"/>
      </font>
      <numFmt numFmtId="166" formatCode="[$-409]dd\-mmm\-yy;@"/>
      <fill>
        <patternFill patternType="solid">
          <fgColor indexed="64"/>
          <bgColor theme="3" tint="0.89999084444715716"/>
        </patternFill>
      </fill>
      <alignment horizontal="center" vertical="top"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theme="1"/>
        <name val="Aptos Narrow"/>
        <family val="2"/>
        <charset val="222"/>
        <scheme val="minor"/>
      </font>
      <numFmt numFmtId="166" formatCode="[$-409]dd\-mmm\-yy;@"/>
      <fill>
        <patternFill patternType="solid">
          <fgColor indexed="64"/>
          <bgColor theme="3" tint="0.89999084444715716"/>
        </patternFill>
      </fill>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ptos Narrow"/>
        <family val="2"/>
        <charset val="222"/>
        <scheme val="minor"/>
      </font>
      <numFmt numFmtId="2" formatCode="0.00"/>
      <fill>
        <patternFill patternType="solid">
          <fgColor indexed="64"/>
          <bgColor theme="3" tint="0.89999084444715716"/>
        </patternFill>
      </fill>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ptos Narrow"/>
        <family val="2"/>
        <charset val="222"/>
        <scheme val="minor"/>
      </font>
      <numFmt numFmtId="166" formatCode="[$-409]dd\-mmm\-yy;@"/>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ptos Narrow"/>
        <family val="2"/>
        <charset val="222"/>
        <scheme val="minor"/>
      </font>
      <numFmt numFmtId="166" formatCode="[$-409]dd\-mmm\-yy;@"/>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ptos Narrow"/>
        <family val="2"/>
        <charset val="22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ptos Narrow"/>
        <family val="2"/>
        <charset val="22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ptos Narrow"/>
        <family val="2"/>
        <charset val="22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ptos Narrow"/>
        <family val="2"/>
        <charset val="222"/>
        <scheme val="minor"/>
      </font>
      <numFmt numFmtId="164" formatCode="_-* #,##0.00_-;\-* #,##0.00_-;_-* &quot;-&quot;??_-;_-@_-"/>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ptos Narrow"/>
        <family val="2"/>
        <charset val="222"/>
        <scheme val="minor"/>
      </font>
      <numFmt numFmtId="164" formatCode="_-* #,##0.00_-;\-* #,##0.00_-;_-* &quot;-&quot;??_-;_-@_-"/>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ptos Narrow"/>
        <family val="2"/>
        <charset val="222"/>
        <scheme val="minor"/>
      </font>
      <numFmt numFmtId="164" formatCode="_-* #,##0.00_-;\-* #,##0.00_-;_-* &quot;-&quot;??_-;_-@_-"/>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ptos Narrow"/>
        <family val="2"/>
        <charset val="222"/>
        <scheme val="minor"/>
      </font>
      <numFmt numFmtId="164" formatCode="_-* #,##0.00_-;\-* #,##0.00_-;_-* &quot;-&quot;??_-;_-@_-"/>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ptos Narrow"/>
        <family val="2"/>
        <charset val="222"/>
        <scheme val="minor"/>
      </font>
      <numFmt numFmtId="164" formatCode="_-* #,##0.00_-;\-* #,##0.00_-;_-* &quot;-&quot;??_-;_-@_-"/>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ptos Narrow"/>
        <family val="2"/>
        <charset val="222"/>
        <scheme val="minor"/>
      </font>
      <numFmt numFmtId="164" formatCode="_-* #,##0.00_-;\-* #,##0.00_-;_-* &quot;-&quot;??_-;_-@_-"/>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ptos Narrow"/>
        <family val="2"/>
        <charset val="222"/>
        <scheme val="minor"/>
      </font>
      <numFmt numFmtId="164" formatCode="_-* #,##0.00_-;\-* #,##0.00_-;_-* &quot;-&quot;??_-;_-@_-"/>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ptos Narrow"/>
        <family val="2"/>
        <charset val="222"/>
        <scheme val="minor"/>
      </font>
      <numFmt numFmtId="164" formatCode="_-* #,##0.00_-;\-* #,##0.00_-;_-* &quot;-&quot;??_-;_-@_-"/>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ptos Narrow"/>
        <family val="2"/>
        <charset val="222"/>
        <scheme val="minor"/>
      </font>
      <numFmt numFmtId="164" formatCode="_-* #,##0.00_-;\-* #,##0.00_-;_-* &quot;-&quot;??_-;_-@_-"/>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ptos Narrow"/>
        <family val="2"/>
        <charset val="22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ptos Narrow"/>
        <family val="2"/>
        <charset val="222"/>
        <scheme val="minor"/>
      </font>
      <numFmt numFmtId="167" formatCode="0;[Red]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ptos Narrow"/>
        <family val="2"/>
        <charset val="22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ptos Narrow"/>
        <family val="2"/>
        <charset val="22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ptos Narrow"/>
        <family val="2"/>
        <charset val="22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70C0"/>
        <name val="Aptos Narrow"/>
        <family val="2"/>
        <charset val="222"/>
        <scheme val="minor"/>
      </font>
      <fill>
        <patternFill patternType="solid">
          <fgColor indexed="64"/>
          <bgColor rgb="FFFFFF00"/>
        </patternFill>
      </fill>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ptos Narrow"/>
        <family val="2"/>
        <charset val="222"/>
        <scheme val="minor"/>
      </font>
      <numFmt numFmtId="165" formatCode="[$-409]d\-mmm\-yy;@"/>
      <fill>
        <patternFill patternType="solid">
          <fgColor indexed="64"/>
          <bgColor rgb="FFFFFF00"/>
        </patternFill>
      </fill>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ptos Narrow"/>
        <family val="2"/>
        <charset val="22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ptos Narrow"/>
        <family val="2"/>
        <charset val="22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ptos Narrow"/>
        <family val="2"/>
        <charset val="222"/>
        <scheme val="minor"/>
      </font>
      <numFmt numFmtId="165" formatCode="[$-409]d\-mmm\-yy;@"/>
      <alignment horizontal="center" vertical="top"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0"/>
        <color theme="1"/>
        <name val="Aptos Narrow"/>
        <family val="2"/>
        <charset val="22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ptos Narrow"/>
        <family val="2"/>
        <charset val="22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color rgb="FF9C0006"/>
      </font>
      <fill>
        <patternFill>
          <bgColor rgb="FFFFC7CE"/>
        </patternFill>
      </fill>
    </dxf>
    <dxf>
      <fill>
        <patternFill>
          <bgColor rgb="FFFFFF00"/>
        </patternFill>
      </fill>
    </dxf>
    <dxf>
      <fill>
        <patternFill>
          <bgColor rgb="FFFF99FF"/>
        </patternFill>
      </fill>
    </dxf>
    <dxf>
      <fill>
        <patternFill>
          <bgColor rgb="FFFF99FF"/>
        </patternFill>
      </fill>
    </dxf>
    <dxf>
      <fill>
        <patternFill>
          <bgColor rgb="FFFFCC66"/>
        </patternFill>
      </fill>
    </dxf>
    <dxf>
      <fill>
        <patternFill>
          <bgColor rgb="FF3399FF"/>
        </patternFill>
      </fill>
    </dxf>
    <dxf>
      <fill>
        <patternFill>
          <bgColor rgb="FFFF00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patternType="solid">
          <bgColor rgb="FF996600"/>
        </patternFill>
      </fill>
    </dxf>
    <dxf>
      <fill>
        <patternFill patternType="solid">
          <bgColor rgb="FFFF0000"/>
        </patternFill>
      </fill>
    </dxf>
    <dxf>
      <fill>
        <patternFill patternType="solid">
          <bgColor rgb="FFFF0000"/>
        </patternFill>
      </fill>
    </dxf>
    <dxf>
      <fill>
        <patternFill patternType="solid">
          <bgColor rgb="FFFFFF00"/>
        </patternFill>
      </fill>
    </dxf>
    <dxf>
      <fill>
        <patternFill patternType="solid">
          <bgColor rgb="FFFFFF00"/>
        </patternFill>
      </fill>
    </dxf>
    <dxf>
      <fill>
        <patternFill patternType="solid">
          <bgColor rgb="FFFFCC66"/>
        </patternFill>
      </fill>
    </dxf>
    <dxf>
      <fill>
        <patternFill patternType="solid">
          <bgColor rgb="FFFFCC66"/>
        </patternFill>
      </fill>
    </dxf>
    <dxf>
      <fill>
        <patternFill patternType="solid">
          <bgColor rgb="FFFF99FF"/>
        </patternFill>
      </fill>
    </dxf>
    <dxf>
      <fill>
        <patternFill patternType="solid">
          <bgColor rgb="FFFF99FF"/>
        </patternFill>
      </fill>
    </dxf>
    <dxf>
      <fill>
        <patternFill patternType="solid">
          <bgColor theme="6" tint="0.39997558519241921"/>
        </patternFill>
      </fill>
    </dxf>
    <dxf>
      <fill>
        <patternFill patternType="solid">
          <bgColor theme="6" tint="0.39997558519241921"/>
        </patternFill>
      </fill>
    </dxf>
    <dxf>
      <fill>
        <patternFill patternType="solid">
          <bgColor theme="3" tint="0.499984740745262"/>
        </patternFill>
      </fill>
    </dxf>
    <dxf>
      <fill>
        <patternFill patternType="solid">
          <bgColor theme="3" tint="0.499984740745262"/>
        </patternFill>
      </fill>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numFmt numFmtId="164" formatCode="_-* #,##0.00_-;\-* #,##0.00_-;_-* &quot;-&quot;??_-;_-@_-"/>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ptos Narrow"/>
        <family val="2"/>
        <charset val="222"/>
        <scheme val="minor"/>
      </font>
      <fill>
        <patternFill patternType="solid">
          <fgColor indexed="64"/>
          <bgColor theme="3" tint="0.89999084444715716"/>
        </patternFill>
      </fill>
      <alignment horizontal="center" vertical="top"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ptos Narrow"/>
        <family val="2"/>
        <charset val="222"/>
        <scheme val="minor"/>
      </font>
      <numFmt numFmtId="166" formatCode="[$-409]dd\-mmm\-yy;@"/>
      <fill>
        <patternFill patternType="solid">
          <fgColor indexed="64"/>
          <bgColor theme="3" tint="0.89999084444715716"/>
        </patternFill>
      </fill>
      <alignment horizontal="center" vertical="top"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charset val="222"/>
        <scheme val="minor"/>
      </font>
      <numFmt numFmtId="166" formatCode="[$-409]dd\-mmm\-yy;@"/>
      <fill>
        <patternFill patternType="solid">
          <fgColor indexed="64"/>
          <bgColor theme="3" tint="0.89999084444715716"/>
        </patternFill>
      </fill>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charset val="222"/>
        <scheme val="minor"/>
      </font>
      <numFmt numFmtId="2" formatCode="0.00"/>
      <fill>
        <patternFill patternType="solid">
          <fgColor indexed="64"/>
          <bgColor theme="3" tint="0.89999084444715716"/>
        </patternFill>
      </fill>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charset val="222"/>
        <scheme val="minor"/>
      </font>
      <numFmt numFmtId="166" formatCode="[$-409]dd\-mmm\-yy;@"/>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ptos Narrow"/>
        <family val="2"/>
        <charset val="222"/>
        <scheme val="minor"/>
      </font>
      <numFmt numFmtId="166" formatCode="[$-409]dd\-mmm\-yy;@"/>
      <fill>
        <patternFill patternType="none">
          <fgColor indexed="64"/>
          <bgColor auto="1"/>
        </patternFill>
      </fill>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charset val="222"/>
        <scheme val="minor"/>
      </font>
      <fill>
        <patternFill patternType="none">
          <fgColor indexed="64"/>
          <bgColor auto="1"/>
        </patternFill>
      </fill>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charset val="222"/>
        <scheme val="minor"/>
      </font>
      <fill>
        <patternFill patternType="none">
          <fgColor indexed="64"/>
          <bgColor auto="1"/>
        </patternFill>
      </fill>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charset val="222"/>
        <scheme val="minor"/>
      </font>
      <fill>
        <patternFill patternType="none">
          <fgColor indexed="64"/>
          <bgColor auto="1"/>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charset val="222"/>
        <scheme val="minor"/>
      </font>
      <numFmt numFmtId="164" formatCode="_-* #,##0.00_-;\-* #,##0.00_-;_-* &quot;-&quot;??_-;_-@_-"/>
      <fill>
        <patternFill patternType="none">
          <fgColor indexed="64"/>
          <bgColor indexed="65"/>
        </patternFill>
      </fill>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charset val="222"/>
        <scheme val="minor"/>
      </font>
      <fill>
        <patternFill patternType="none">
          <fgColor indexed="64"/>
          <bgColor indexed="65"/>
        </patternFill>
      </fill>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charset val="222"/>
        <scheme val="minor"/>
      </font>
      <fill>
        <patternFill patternType="none">
          <fgColor indexed="64"/>
          <bgColor indexed="65"/>
        </patternFill>
      </fill>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charset val="222"/>
        <scheme val="minor"/>
      </font>
      <fill>
        <patternFill patternType="none">
          <fgColor indexed="64"/>
          <bgColor indexed="65"/>
        </patternFill>
      </fill>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charset val="222"/>
        <scheme val="minor"/>
      </font>
      <fill>
        <patternFill patternType="none">
          <fgColor indexed="64"/>
          <bgColor indexed="65"/>
        </patternFill>
      </fill>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charset val="222"/>
        <scheme val="minor"/>
      </font>
      <numFmt numFmtId="164" formatCode="_-* #,##0.00_-;\-* #,##0.00_-;_-* &quot;-&quot;??_-;_-@_-"/>
      <fill>
        <patternFill patternType="none">
          <fgColor indexed="64"/>
          <bgColor indexed="65"/>
        </patternFill>
      </fill>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charset val="222"/>
        <scheme val="minor"/>
      </font>
      <fill>
        <patternFill patternType="none">
          <fgColor indexed="64"/>
          <bgColor auto="1"/>
        </patternFill>
      </fill>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charset val="222"/>
        <scheme val="minor"/>
      </font>
      <fill>
        <patternFill patternType="none">
          <fgColor indexed="64"/>
          <bgColor auto="1"/>
        </patternFill>
      </fill>
      <alignment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ptos Narrow"/>
        <family val="2"/>
        <charset val="222"/>
        <scheme val="minor"/>
      </font>
      <numFmt numFmtId="164" formatCode="_-* #,##0.00_-;\-* #,##0.00_-;_-* &quot;-&quot;??_-;_-@_-"/>
      <fill>
        <patternFill patternType="none">
          <fgColor indexed="64"/>
          <bgColor auto="1"/>
        </patternFill>
      </fill>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charset val="222"/>
        <scheme val="minor"/>
      </font>
      <fill>
        <patternFill patternType="none">
          <fgColor indexed="64"/>
          <bgColor auto="1"/>
        </patternFill>
      </fill>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charset val="222"/>
        <scheme val="minor"/>
      </font>
      <numFmt numFmtId="167" formatCode="0;[Red]0"/>
      <fill>
        <patternFill patternType="none">
          <fgColor indexed="64"/>
          <bgColor auto="1"/>
        </patternFill>
      </fill>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charset val="222"/>
        <scheme val="minor"/>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charset val="222"/>
        <scheme val="minor"/>
      </font>
      <fill>
        <patternFill patternType="none">
          <fgColor indexed="64"/>
          <bgColor auto="1"/>
        </patternFill>
      </fill>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charset val="222"/>
        <scheme val="minor"/>
      </font>
      <fill>
        <patternFill patternType="none">
          <fgColor indexed="64"/>
          <bgColor auto="1"/>
        </patternFill>
      </fill>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70C0"/>
        <name val="Aptos Narrow"/>
        <family val="2"/>
        <charset val="22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charset val="22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charset val="222"/>
        <scheme val="minor"/>
      </font>
      <fill>
        <patternFill patternType="none">
          <fgColor indexed="64"/>
          <bgColor auto="1"/>
        </patternFill>
      </fill>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charset val="222"/>
        <scheme val="minor"/>
      </font>
      <fill>
        <patternFill patternType="none">
          <fgColor indexed="64"/>
          <bgColor auto="1"/>
        </patternFill>
      </fill>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charset val="222"/>
        <scheme val="minor"/>
      </font>
      <numFmt numFmtId="165" formatCode="[$-409]d\-mmm\-yy;@"/>
      <fill>
        <patternFill patternType="none">
          <fgColor indexed="64"/>
          <bgColor auto="1"/>
        </patternFill>
      </fill>
      <alignment horizontal="center" vertical="top" textRotation="0" wrapText="0" indent="0" justifyLastLine="0" shrinkToFit="0" readingOrder="0"/>
      <border diagonalUp="0" diagonalDown="0" outline="0">
        <left/>
        <right style="thin">
          <color indexed="64"/>
        </right>
        <top style="thin">
          <color indexed="64"/>
        </top>
        <bottom style="thin">
          <color indexed="64"/>
        </bottom>
      </border>
    </dxf>
    <dxf>
      <fill>
        <patternFill patternType="none">
          <fgColor indexed="64"/>
          <bgColor auto="1"/>
        </patternFill>
      </fill>
      <alignment vertical="top" textRotation="0" indent="0" justifyLastLine="0" shrinkToFit="0" readingOrder="0"/>
    </dxf>
    <dxf>
      <fill>
        <patternFill patternType="none">
          <fgColor indexed="64"/>
          <bgColor auto="1"/>
        </patternFill>
      </fill>
      <alignment vertical="top" textRotation="0" indent="0" justifyLastLine="0" shrinkToFit="0" readingOrder="0"/>
    </dxf>
    <dxf>
      <fill>
        <patternFill patternType="none">
          <fgColor indexed="64"/>
          <bgColor auto="1"/>
        </patternFill>
      </fill>
      <alignment vertical="top" textRotation="0" indent="0" justifyLastLine="0" shrinkToFit="0" readingOrder="0"/>
    </dxf>
    <dxf>
      <font>
        <b val="0"/>
        <i val="0"/>
        <strike val="0"/>
        <condense val="0"/>
        <extend val="0"/>
        <outline val="0"/>
        <shadow val="0"/>
        <u val="none"/>
        <vertAlign val="baseline"/>
        <sz val="10"/>
        <color theme="1"/>
        <name val="Aptos Narrow"/>
        <family val="2"/>
        <charset val="222"/>
        <scheme val="minor"/>
      </font>
      <fill>
        <patternFill patternType="none">
          <fgColor indexed="64"/>
          <bgColor auto="1"/>
        </patternFill>
      </fill>
      <alignment horizontal="center" vertical="top"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99FF"/>
      <color rgb="FF996600"/>
      <color rgb="FFFFCC66"/>
      <color rgb="FF3399FF"/>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eetMetadata" Target="metadata.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alcChain" Target="calcChain.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rilux Klaysuban" refreshedDate="46060.395774305558" backgroundQuery="1" createdVersion="8" refreshedVersion="8" minRefreshableVersion="3" recordCount="0" supportSubquery="1" supportAdvancedDrill="1" xr:uid="{86AAA5C5-1BB4-44B5-855E-0ABC84E19494}">
  <cacheSource type="external" connectionId="1"/>
  <cacheFields count="6">
    <cacheField name="[Measures].[Sum of Total price]" caption="Sum of Total price" numFmtId="0" hierarchy="31" level="32767"/>
    <cacheField name="[RawDataGenPO].[PR No.].[PR No.]" caption="PR No." numFmtId="0" hierarchy="3" level="1">
      <sharedItems count="49">
        <s v="PR2526-03195"/>
        <s v="PR2526-03201"/>
        <s v="PR2526-03202"/>
        <s v="PR2526-03206"/>
        <s v="PR2526-03209"/>
        <s v="PR2526-03211"/>
        <s v="PR2526-03269"/>
        <s v="PR2526-03275"/>
        <s v="PR2526-03276"/>
        <s v="PR2526-03369"/>
        <s v="PR2526-03384"/>
        <s v="PR2526-03404"/>
        <s v="PR2526-03405"/>
        <s v="PR2526-03411"/>
        <s v="PR2526-03412"/>
        <s v="PR2526-03414"/>
        <s v="PR2526-03415"/>
        <s v="PR2526-03625"/>
        <s v="PR2526-03626"/>
        <s v="PR2526-03635"/>
        <s v="PR2526-03681"/>
        <s v="PR2526-03682"/>
        <s v="PR2526-03741"/>
        <s v="PR2526-03746"/>
        <s v="PR2526-03747"/>
        <s v="PR2526-03844"/>
        <s v="PR2526-03853"/>
        <s v="PR2526-03859"/>
        <s v="PR2526-03860"/>
        <s v="PR2526-03955"/>
        <s v="PR2526-03956"/>
        <s v="PR2526-03965"/>
        <s v="PR2526-04050"/>
        <s v="PR2526-04291"/>
        <s v="PR2526-04292"/>
        <s v="PR2526-04358"/>
        <s v="PR2526-04388"/>
        <s v="PR2526-04392"/>
        <s v="PR2526-04400"/>
        <s v="PR2526-04467 "/>
        <s v="PR2526-04577"/>
        <s v="PR2526-04580"/>
        <s v="PR2526-04647"/>
        <s v="PR2526-04649"/>
        <s v="PR2526-04702"/>
        <s v="PR2526-04703"/>
        <s v="PR2526-04704"/>
        <s v="PR2526-04706"/>
        <s v="PR2526-04732"/>
      </sharedItems>
    </cacheField>
    <cacheField name="[RawDataGenPO].[DMY Create PR].[DMY Create PR]" caption="DMY Create PR" numFmtId="0" hierarchy="2" level="1">
      <sharedItems containsSemiMixedTypes="0" containsNonDate="0" containsString="0"/>
    </cacheField>
    <cacheField name="[RawDataGenPO].[PO No.].[PO No.]" caption="PO No." numFmtId="0" hierarchy="4" level="1">
      <sharedItems containsSemiMixedTypes="0" containsNonDate="0" containsString="0"/>
    </cacheField>
    <cacheField name="[RawDataGenPO].[Description].[Description]" caption="Description" numFmtId="0" hierarchy="9" level="1">
      <sharedItems count="184" longText="1">
        <s v="SERVICE BIRD_x000a_- Inspection for bird risk assessment and recommendation_x000a_- Removal bird's nests around the factory from a height of no more than 10 meters from the ground._x000a__x000a__x000a_Details are referenced according to the attached contract."/>
        <s v="SERVICE IPM PROGRAM  Stage 2 _x000a_- Pest Elimination Program_x000a_- Crawling Insect Program (Cockroach, Termite and Common Ant)_x000a_- Rodent_x000a_- Flying Insects (Flies, Mosquito)_x000a_- Small Lizard_x000a_- Installation and service 34 units of Stealth Maxima"/>
        <s v="5 DAYS TEMPERATURE PROFILE LOAN 20 CH."/>
        <s v="5 DAYS TEMPERATURE PROFILE LOAN 20 CH. (Additional per Day)"/>
        <s v="Collar, Diameter 1.6mm / 40mm Long, Type K - 3.5m long Needle Thermocouple calibration at -15°C, 95°C, 98°C,  100°C_x000a__x000a_Ref . QT SO-2510048"/>
        <s v="PhoenixTM 20 Channel Food System_x000a__x000a_Ref QT SO-2509176"/>
        <s v="Short Needle Thermocouple, Taper"/>
        <s v="TXR -S-TX RF Telemetry system comprises Co-ordinator,Router,Antenna LT and Data Logger transmitter module .ETC_x000a__x000a_Ref QT SO-2509176"/>
        <s v="Mobile Record Keeping/QA Table (No.4)_x000a_Sizc: 600xti00x850 mm."/>
        <s v="Shelving Unit (No.5)_x000a_Size: 700x2000x 1500 mm."/>
        <s v="Working table Type A (For 6-persons) (No.1)_x000a_Sizc: 1000x1800x850 mm."/>
        <s v="Working table Type B (No.2) Size: 700x900x850 mm."/>
        <s v="Working table Type C (No.3)_x000a_Size: 600x1200x850 mm."/>
        <s v="Cover GN Tray"/>
        <s v="GN Tray 2/1"/>
        <s v="GN Tray 2/1 Perforated"/>
        <s v="Grid Shelf"/>
        <s v="Basket cart"/>
        <s v="Eurobin"/>
        <s v="Eurobin Wash Frame"/>
        <s v="Food tray table"/>
        <s v="GN Trolley"/>
        <s v="Thawing trolley"/>
        <s v="Wheel cart for 601 Pot"/>
        <s v="ก๊าซปิโตรเลียมเหลว ( LPG)"/>
        <s v="Factory Cleaning Stage 2 for 2 Time_x000a_- Hight risk_x000a_- Low risk_x000a_- Meduim risk_x000a_Including cleaning of floors, walls, ceilings, air conditioners, and machinery._x000a_1) First cleaning for FDA audit_x000a_Cleaning results verified by ATP test results_x000a_300 Test If the test result fails, repeat the cleaning_x000a_2) Cleaning for DLD audit in January 2026"/>
        <s v="CLICK 10"/>
        <s v="HAND FRESH-66"/>
        <s v="MIP LIQUID"/>
        <s v="OXONIA ACTIVE"/>
        <s v="QUORUM PINK II HE"/>
        <s v="RINSE DRY"/>
        <s v="SHC EXTREME II-30 (DLD)"/>
        <s v="TOPAX 16SF"/>
        <s v="TOPAZ AC3"/>
        <s v="ТОРАХ 91-66"/>
        <s v="&quot;NTS&quot; 24 OZ ICE SCOOP S/S 304 MODEL ISC2-24"/>
        <s v="&quot;NTS&quot; SALAD SPOON MODEL CAD1-28"/>
        <s v="Butcher knife - RHINO NO 986: 9&quot;"/>
        <s v="Knife-RHINO 8801: 8&quot;"/>
        <s v="ladle Seagull"/>
        <s v="Scissors: Singer 8&quot;"/>
        <s v="short spoon Zebra"/>
        <s v="Stainless steel bowl S/S Mixing bowl 5 QT #KK-MBR05"/>
        <s v="ค่าขนส่งทั่วไป"/>
        <s v="ค่าเช่าเครื่องปั้นลูกชิ้น รุ่น JWJ ระยะเวลา 1"/>
        <s v="AV-Check &quot;Advantec&quot;"/>
        <s v="Chlorine test paper &quot;Advantec&quot;"/>
        <s v="HYDRION (QT-10) Quaternary Sanitizers test paper"/>
        <s v="Lovibond Chlorine testing DPD NO.1"/>
        <s v="Digital Balance HT-500 &quot;AND&quot; (500g.)"/>
        <s v="Digital Thermometer (ANRITSU HR-1100E)"/>
        <s v="Freezer HAIER รุ่น HCF-568DP size 18.3 คิว (519 liter)"/>
        <s v="license"/>
        <s v="Magnetic Bar (ความยาว 295 mm, เส้นผ่านศูนย์กลาง 2 cm) ความแรงแม่หล็ก 10,000 Gauss"/>
        <s v="Thermocouple Probe (BS-21E-010-TC1-ASP)"/>
        <s v="Watkie Takic license"/>
        <s v="เครื่องซีลสายพาน (Brand: Hualian, Model: FRB-770III)"/>
        <s v="ตู้แช่เย็นกระจก (Chill) 1 ประตู S-Cool รุ่น SM-61 (12 คิว)"/>
        <s v="DLD's rubber stamp (Big one) (Size: 6.5 cm * 4.5 cm)"/>
        <s v="DLD's rubber stamp (Small one), self-inking (Size: 3 cm 2 cm)"/>
        <s v="Electric Kettle (Brand: Imarflex, Model: IF-285)"/>
        <s v="LogTag (UTRIX-16 Temperature Recorder)"/>
        <s v="Microwave Samsung, Model: MS23K3555EW, ขนาด 23 ลิตร"/>
        <s v="เครื่องซีลแบบมือกด (Brand: Brother, Model: PCS500A)"/>
        <s v="Anritsu Digital Thermometer Model: HR-1100E (E:-200~800oC)"/>
        <s v="Brix-Salt digital Meter PAL-BX SALT+5 Ansitsu"/>
        <s v="Consistometer sample 75 ml. #24925-000 (Bostwick)"/>
        <s v="Digital Balance &quot;AND&quot; HT-500 (500g.)_x000a_-รับประกันเครื่องชั่ง 1 ปี แบตเตอรี่ 6 เดือน_x000a_-แถมใบสอบเทียบเครื่องชั่ง (Calibration Report)"/>
        <s v="Digital Balance &quot;AZANO&quot; Model: NSW-4252-150K_x000a_-ขนาดพิกัด 150 kg. ค่าละเอียด 0.02 kg._x000a_-รับประกัน 1 ปี พร้อมอะไหล่_x000a_-แถมฟรีใบ Certificate ISO/IE17025"/>
        <s v="Digital Vernier Caliper Stainless Steel Range 150mm/0-6 Inch"/>
        <s v="Eutech pH Tester 30"/>
        <s v="Fluke 62 MAX+ Infrared Thermometer"/>
        <s v="Freezer HAIER รุ่น HCF-568DP size 18.3 คิว (519 liter)_x000a_-รับประกันความเย็น 3 ปี_x000a_-รับประกันคอมเพรสเซอร์ 10 ปี"/>
        <s v="License for Walkie Talkie ICOM-86 FX"/>
        <s v="Lovibond Chlorine meter Model: MD 200"/>
        <s v="Pantone Formula Guide Solid Coated &amp; Solid Uncoated GP1601B"/>
        <s v="Probe (Thermometer) Anritsu รุ่น BS-21E-010-TC1-ASP"/>
        <s v="Refractometer Brix 0-53 Model: Master 53M &quot;Atago&quot;"/>
        <s v="Refractometer Salt 0-28 Model: Master S28 &quot;Atago&quot;"/>
        <s v="Walkie Talkie ICOM-86FX"/>
        <s v="เครื่องชั่ง SEIDO Model: DW-II-6K_x000a_-ขนาดพิกัด 6000 กรัม ค่าละเอียด 1 กรัม_x000a_-รับประกัน 1 ปี พร้อมอะไหล่_x000a_-พร้อมใบสอบเทียบ"/>
        <s v="โต๊ะสแตนเลสมีล้อ ขนาด 510x760x980 mm._x000a_-รับประกัน 1 ปี_x000a_-มีใบ Certificate"/>
        <s v="INFEED CV_x000a_- LEAVE WIRE FROM 3 INFEED CV CONTROL PANEL_x000a_INTO 5 LINES, CABLE WIRING 10M LONG PER LINE"/>
        <s v="MAYEKAWA PAID IN ADVANCE FOR FUEL &amp; WATER SUPPLY TO SITE WORK_x000a__x000a_EACH INVOICE DETAILS AND SUMMARIZE ARE AS ADDITIONAL DETAILS IN THIS QUOTATION"/>
        <s v="UTILITY SUPPLY CONNECTION_x000a_- 3 SETS OF WATER CONNECTION TO FREEZER_x000a_- 3 SETS OF WATER CONNECTION TO SEMI CIP UNIT_x000a_- 3 SETS OF AIR CONNECTION TO SEMI CIP UNIT_x000a_- 6 SETS OF AIR CONNECTION_x000a_TO INFEED/OUTFEED CONVEYOR SYSTEMS_x000a_- ELECTRICAL CONNECTION_x000a_AT MAYEKAWA CONTROL PANELS (3 SPIRAL FREEZER CONTROL PANELS, 1 REFRIGERATION SYSTEM CONTROL PANELS, 6 CONVEYOR SYSTEMS CONTROL PANELS)"/>
        <s v="Sunford เครื่องชั่ง WSS30KS _x000a_(จอ LED): WSS30KSLED _x000a_ตั้งค่า 3kg/0.2g จำนวน 228 เครื่อง_x000a_ฟรี ISO17025 Certificate of Calibration_x000a_- Sunford เครื่องชั่ง WSS30KS _x000a_(จอ LED): WSS30KSLED _x000a_ตั้งค่า 10kg/1g จำนวน 20 เครื่อง_x000a_ฟรี ISO17025 Certificate of Calibration"/>
        <s v="Sunford ชิ้นส่วน-Platform TSS 5060 _x000a_ติดตั้งหัวอ่าน WP31E IP67_x000a_ตังค่าพิกัด 300/10kg พร้อมBT_x000a_ฟรี ISO17025 Certificate of Calibration"/>
        <s v="Pallet: EHL 1012 HY Gray_x000a_USAGE: SINGLE-FACE, 4 WAYS ENTRY_x000a_Size: 1000x1200x160 mm._x000a_Loading 6,000 kgs. Static Load_x000a_- 1,500 kgs. Dynamic Load._x000a_- 1,000 kgs. Racking Load"/>
        <s v="ลังพลาสติกโปร่ง No.1028 สีเหลือง"/>
        <s v="ลังพลาสติกโปร่ง No.1028 สีน้ำเงิน"/>
        <s v="กำจัดสินค้าเสื่อมสภาพ"/>
        <s v="Chopping board Food-grade plastic 22 x 30 TK. 2 CM_x000a_- Cer. Food grade"/>
        <s v="HELI NEW BATTERY COUNTER TYPE_x000a_Modl: CPD25-A7LIH2-ZSM600"/>
        <s v="Temporary Forklift rental 3 Month_x000a_Secondhand SUMITOMO Battery Counter Type Forklift Model 8FB25PXIII-V400_x000a_Maximum Loading 2500 Kg._x000a_Maximum Lifting Height 4000 mm._x000a_Mast Lower Height 2620 mm._x000a_Battery Lead Acid 48V,580AH Usage Limit per Month 250 Hours"/>
        <s v="Chicken Freezer 1 UC.2 (Display)"/>
        <s v="Chicken Freezer 1 UC.2 (Probe)"/>
        <s v="Chicken Freezer 2 UC.2 (Display)"/>
        <s v="Chicken Freezer 2 UC.2 (Probe)"/>
        <s v="On-Site at your Factory_x000a_(ค่าเดินทางไปสอบเทียบ วันที่ 17/12/68)"/>
        <s v="Out going WH 5 (Display)"/>
        <s v="Out going WH 5 (Probe)"/>
        <s v="Out going WH 7 (Display)"/>
        <s v="Out going WH 7 (Probe)"/>
        <s v="Seafood Freezer 2 (Display)"/>
        <s v="Seafood Freezer 2 (Probe)"/>
        <s v="Basin with holes 40 CM Brand: Seagull"/>
        <s v="Pot and Cover pot 30 Jiter Brand: Seagull"/>
        <s v="Pot and Cover pot 60 liter Brand: Seagull"/>
        <s v="Basin with holes 1/2 x 100 Perforated GN12100P"/>
        <s v="Big Stainlass Egg Whisk Big whisk 8 wires 100 cm."/>
        <s v="Colander (filter) 22 cm #303.022"/>
        <s v="Colander (one piese skimmer 18 cm) 302.118"/>
        <s v="Cover for GN 2/1_x000a_SUS201"/>
        <s v="GN Pan Size 2/1 and Cover 6.5-100 Cm. 503201 SUS201"/>
        <s v="Hand scrapers PLASTIC SCRAPER MODEL SN4051"/>
        <s v="Scale PRC1-KK-MJ250"/>
        <s v="Small Stainlass Egg Whisk 12 wires 40 cm"/>
        <s v="Spoon KK-MCHS54"/>
        <s v="Stainless Ladel 0.5 oz."/>
        <s v="Stainless Ladel 1.0 oz."/>
        <s v="Stainless Ladel 1.5 oz."/>
        <s v="Stainless steel bowl KK-MBP05 29-30 cm"/>
        <s v="Dipper (ขันตักซุป)"/>
        <s v="Long spatula"/>
        <s v="Short spatula ไม่มีขอบ"/>
        <s v="Short spatula มีขอบ"/>
        <s v="Basket wheel"/>
        <s v="Blanch basket 10 mm"/>
        <s v="Blanch basket 20 mm."/>
        <s v="Blanch car (รถเข็นล้างวัตถุดิบ)"/>
        <s v="Chemical storage cabinet"/>
        <s v="Chlorine bath for soaking"/>
        <s v="Condemn box"/>
        <s v="Food tray tables"/>
        <s v="Garbage bag frame"/>
        <s v="Pot support wheels"/>
        <s v="Report writing desk"/>
        <s v="Shelf of equipment (70x145x160)"/>
        <s v="Shelve for Batching size 700x2000x1500 mm"/>
        <s v="Trolley GN Pan Size 2/1"/>
        <s v="Wheel pot 30 liter"/>
        <s v="Wheel pot 60 liter"/>
        <s v="Wheel weigh"/>
        <s v="สินค้าเสื่อมสภาพ"/>
        <s v="Alcohol Dispenser/Sprayer PURE SERV PS-305AS"/>
        <s v="Tissue box Kimberly-Clark White 69530"/>
        <s v="Sample Foil lid for CPET tray (roll form)_x000a_Size: 23micron x 210mmW x 500mL_x000a_Color: emboss &amp; no printing"/>
        <s v="Size: 30micron x 210mmW x 500mL_x000a_Color: emboss &amp; no printing"/>
        <s v="Size: 40micron x 210mmW x 500mL_x000a_Color:  plain - no emboss &amp; no printing"/>
        <s v="Size: 40micron x 210mmW x 500mL_x000a_Color: emboss &amp; no printing"/>
        <s v="Anifoam (20 Kgs/Tank)"/>
        <s v="Anionic polymer (15 Kgs/Bag)"/>
        <s v="Cationic polymer (15 Kgs/Bag)"/>
        <s v="Pac B-50"/>
        <s v="เสา+โครงกรวยลม 2 เมตร"/>
        <s v="กรวยบอกทิศทางลม 50*200 cm. แถบสะท้อนแสง 3 แถบ"/>
        <s v="ราคาขายเงินสดเฉพาะหัวเก๋ง-คัสซี (รวมภาษีมูลค่าเพิ่ม)"/>
        <s v="ราคาตู้บรรทุก พร้อมเครื่องทำความเย็น (รวมภาษีมูลค่าเพิ่ม)"/>
        <s v="Quorum Pink II HF"/>
        <s v="Topax 91-66"/>
        <s v="Additional Thawing Tray (No.4)_x000a_Size: 540x755x40 mm._x000a_Material: SUS.304_x000a_R-bar Dia.S/16&quot;, 1/8&quot; SUS.304_x000a_As per Drawing Micropure No. TWTR5378-4_x000a_Stainless Steel Nikel 8 %_x000a_Remark: Change this R-bar Dia.5/16&quot;"/>
        <s v="ถุงกระสอบตัด บรรจุ 1000 KG ถุงบิ๊กแบ็ก ถุงจัมโบ้ เปิดก้นถุงได้"/>
        <s v="BOI operating costs for a mash potato MC"/>
        <s v="Kuriverter N-101"/>
        <s v="Kuriverter N-501"/>
        <s v="Sodium Hypochlorite 10%"/>
        <s v="Brand: AIMI_x000a_Material: Stainless 304_x000a_Power Supply 220V 50HZ 240W_x000a_Air supply ≥ 6kg/cm² (0.4m³/min)_x000a_Carton size L200-500 x W150-400 x H120-400mm_x000a_Speed 10-12 cases/min_x000a_Tape W48-75mm x 900yard (paper core) 75mm_x000a_Side Tape Length 50-70 mm_x000a_Carton storage 60-80 (pcs)_x000a_Table Height ≥ 600mm_x000a_Machine Size L1900×W2080xH1492mm_x000a_Machine Weight 400Kg"/>
        <s v="ชุดต่อระบบลม ตัวล็อคชนิดเฟอรูล S304 ท่อลมออก 8 mm + ท่อลม 8mm*10M (ไม่คิดมูลค่า เฉพาะชุดนี้เท่านั้น)_x000a__x000a_ค่าบริการเคลื่อนย้ายและติดตั้งเครื่องจากอาคารใหม่ไป_x000a__x000a_อาคารเดิม โดยรถ 6 ล้อ แบบเปิดข้างและท้ายแบบลิฟต์ปรับ ระดับได้ พร้อมแฮนด์ลิฟต์"/>
        <s v="ชุด PPE เกรดการแพทย์ ป้องกันเชื้อโรคใช้ได้ทั้งแพทย์และ กันสารเคมี_x000a_- Size L = 4_x000a_- Size XL = 4"/>
        <s v="ชุดป้องกันสารเคมี กันฝุ่น Best Safe รุ่น Chem C Size XL"/>
        <s v="ตลับกรอง NORTH สำหรับสาร Ammonia และ Methylamine"/>
        <s v="หน้ากากเต็มหน้า Honeywell รุ่น RU65001 เบอร์ M"/>
        <s v="เสื้อรุ่น Overcoat สีกรมท่า ใย 300G. สาหรับความเย็น -6°C ถึง -20°C_x000a_- Size L"/>
        <s v="เสื้อรุ่น Overcoat สีกรมท่า ใย 300G. สาหรับความเย็น -6°C ถึง -20°C_x000a_- Size M"/>
        <s v="เสื้อรุ่น Overcoat สีกรมท่า ใย 300G. สาหรับความเย็น -6°C ถึง -20°C_x000a_- Size XL"/>
        <s v="ANIONIC POLYMER"/>
        <s v="ANTIFOAM"/>
        <s v="CATIONIC POLYMER"/>
        <s v="SODIUM HYDROXIDE 50%"/>
        <s v="Lath Brush Green_x000a_size W50XTHK80(Slop)xTL250 mm_x000a_Fills: PP 0.8 mm_x000a_Body: Plastic Engineering"/>
        <s v="Boiler Mate IS-102 ΤΗΝ"/>
        <s v="OKU-D-OK-20BW10 พัดลมระบายอากาศ 20&quot; + ท่อ 10 เมตร"/>
        <s v="เตรื่องชงกาแฟอัตโนมัติ ELE E7EC1-600P"/>
      </sharedItems>
    </cacheField>
    <cacheField name="[RawDataGenPO].[Customer_Group].[Customer_Group]" caption="Customer_Group" numFmtId="0" hierarchy="27" level="1">
      <sharedItems count="7">
        <s v="IT"/>
        <s v="MN"/>
        <s v="PD"/>
        <s v="QA"/>
        <s v="QC"/>
        <s v="Safety"/>
        <s v="WH"/>
      </sharedItems>
    </cacheField>
  </cacheFields>
  <cacheHierarchies count="36">
    <cacheHierarchy uniqueName="[RawDataGenPO].[No.]" caption="No." attribute="1" defaultMemberUniqueName="[RawDataGenPO].[No.].[All]" allUniqueName="[RawDataGenPO].[No.].[All]" dimensionUniqueName="[RawDataGenPO]" displayFolder="" count="0" memberValueDatatype="20" unbalanced="0"/>
    <cacheHierarchy uniqueName="[RawDataGenPO].[Type of cost]" caption="Type of cost" attribute="1" defaultMemberUniqueName="[RawDataGenPO].[Type of cost].[All]" allUniqueName="[RawDataGenPO].[Type of cost].[All]" dimensionUniqueName="[RawDataGenPO]" displayFolder="" count="0" memberValueDatatype="130" unbalanced="0"/>
    <cacheHierarchy uniqueName="[RawDataGenPO].[DMY Create PR]" caption="DMY Create PR" attribute="1" time="1" defaultMemberUniqueName="[RawDataGenPO].[DMY Create PR].[All]" allUniqueName="[RawDataGenPO].[DMY Create PR].[All]" dimensionUniqueName="[RawDataGenPO]" displayFolder="" count="2" memberValueDatatype="7" unbalanced="0">
      <fieldsUsage count="2">
        <fieldUsage x="-1"/>
        <fieldUsage x="2"/>
      </fieldsUsage>
    </cacheHierarchy>
    <cacheHierarchy uniqueName="[RawDataGenPO].[PR No.]" caption="PR No." attribute="1" defaultMemberUniqueName="[RawDataGenPO].[PR No.].[All]" allUniqueName="[RawDataGenPO].[PR No.].[All]" dimensionUniqueName="[RawDataGenPO]" displayFolder="" count="2" memberValueDatatype="130" unbalanced="0">
      <fieldsUsage count="2">
        <fieldUsage x="-1"/>
        <fieldUsage x="1"/>
      </fieldsUsage>
    </cacheHierarchy>
    <cacheHierarchy uniqueName="[RawDataGenPO].[PO No.]" caption="PO No." attribute="1" defaultMemberUniqueName="[RawDataGenPO].[PO No.].[All]" allUniqueName="[RawDataGenPO].[PO No.].[All]" dimensionUniqueName="[RawDataGenPO]" displayFolder="" count="2" memberValueDatatype="130" unbalanced="0">
      <fieldsUsage count="2">
        <fieldUsage x="-1"/>
        <fieldUsage x="3"/>
      </fieldsUsage>
    </cacheHierarchy>
    <cacheHierarchy uniqueName="[RawDataGenPO].[Date Gen PO]" caption="Date Gen PO" attribute="1" time="1" defaultMemberUniqueName="[RawDataGenPO].[Date Gen PO].[All]" allUniqueName="[RawDataGenPO].[Date Gen PO].[All]" dimensionUniqueName="[RawDataGenPO]" displayFolder="" count="0" memberValueDatatype="7" unbalanced="0"/>
    <cacheHierarchy uniqueName="[RawDataGenPO].[Lead time delivery (day)]" caption="Lead time delivery (day)" attribute="1" defaultMemberUniqueName="[RawDataGenPO].[Lead time delivery (day)].[All]" allUniqueName="[RawDataGenPO].[Lead time delivery (day)].[All]" dimensionUniqueName="[RawDataGenPO]" displayFolder="" count="0" memberValueDatatype="20" unbalanced="0"/>
    <cacheHierarchy uniqueName="[RawDataGenPO].[Item]" caption="Item" attribute="1" defaultMemberUniqueName="[RawDataGenPO].[Item].[All]" allUniqueName="[RawDataGenPO].[Item].[All]" dimensionUniqueName="[RawDataGenPO]" displayFolder="" count="0" memberValueDatatype="130" unbalanced="0"/>
    <cacheHierarchy uniqueName="[RawDataGenPO].[Sub PR  No.]" caption="Sub PR  No." attribute="1" defaultMemberUniqueName="[RawDataGenPO].[Sub PR  No.].[All]" allUniqueName="[RawDataGenPO].[Sub PR  No.].[All]" dimensionUniqueName="[RawDataGenPO]" displayFolder="" count="0" memberValueDatatype="20" unbalanced="0"/>
    <cacheHierarchy uniqueName="[RawDataGenPO].[Description]" caption="Description" attribute="1" defaultMemberUniqueName="[RawDataGenPO].[Description].[All]" allUniqueName="[RawDataGenPO].[Description].[All]" dimensionUniqueName="[RawDataGenPO]" displayFolder="" count="2" memberValueDatatype="130" unbalanced="0">
      <fieldsUsage count="2">
        <fieldUsage x="-1"/>
        <fieldUsage x="4"/>
      </fieldsUsage>
    </cacheHierarchy>
    <cacheHierarchy uniqueName="[RawDataGenPO].[Qty']" caption="Qty'" attribute="1" defaultMemberUniqueName="[RawDataGenPO].[Qty'].[All]" allUniqueName="[RawDataGenPO].[Qty'].[All]" dimensionUniqueName="[RawDataGenPO]" displayFolder="" count="0" memberValueDatatype="20" unbalanced="0"/>
    <cacheHierarchy uniqueName="[RawDataGenPO].[Unit]" caption="Unit" attribute="1" defaultMemberUniqueName="[RawDataGenPO].[Unit].[All]" allUniqueName="[RawDataGenPO].[Unit].[All]" dimensionUniqueName="[RawDataGenPO]" displayFolder="" count="0" memberValueDatatype="130" unbalanced="0"/>
    <cacheHierarchy uniqueName="[RawDataGenPO].[Price/Unit]" caption="Price/Unit" attribute="1" defaultMemberUniqueName="[RawDataGenPO].[Price/Unit].[All]" allUniqueName="[RawDataGenPO].[Price/Unit].[All]" dimensionUniqueName="[RawDataGenPO]" displayFolder="" count="0" memberValueDatatype="130" unbalanced="0"/>
    <cacheHierarchy uniqueName="[RawDataGenPO].[Total price]" caption="Total price" attribute="1" defaultMemberUniqueName="[RawDataGenPO].[Total price].[All]" allUniqueName="[RawDataGenPO].[Total price].[All]" dimensionUniqueName="[RawDataGenPO]" displayFolder="" count="0" memberValueDatatype="5" unbalanced="0"/>
    <cacheHierarchy uniqueName="[RawDataGenPO].[Approval status]" caption="Approval status" attribute="1" defaultMemberUniqueName="[RawDataGenPO].[Approval status].[All]" allUniqueName="[RawDataGenPO].[Approval status].[All]" dimensionUniqueName="[RawDataGenPO]" displayFolder="" count="0" memberValueDatatype="130" unbalanced="0"/>
    <cacheHierarchy uniqueName="[RawDataGenPO].[Column1]" caption="Column1" attribute="1" defaultMemberUniqueName="[RawDataGenPO].[Column1].[All]" allUniqueName="[RawDataGenPO].[Column1].[All]" dimensionUniqueName="[RawDataGenPO]" displayFolder="" count="0" memberValueDatatype="5" unbalanced="0"/>
    <cacheHierarchy uniqueName="[RawDataGenPO].[Column14]" caption="Column14" attribute="1" defaultMemberUniqueName="[RawDataGenPO].[Column14].[All]" allUniqueName="[RawDataGenPO].[Column14].[All]" dimensionUniqueName="[RawDataGenPO]" displayFolder="" count="0" memberValueDatatype="5" unbalanced="0"/>
    <cacheHierarchy uniqueName="[RawDataGenPO].[Column13]" caption="Column13" attribute="1" defaultMemberUniqueName="[RawDataGenPO].[Column13].[All]" allUniqueName="[RawDataGenPO].[Column13].[All]" dimensionUniqueName="[RawDataGenPO]" displayFolder="" count="0" memberValueDatatype="20" unbalanced="0"/>
    <cacheHierarchy uniqueName="[RawDataGenPO].[Column12]" caption="Column12" attribute="1" defaultMemberUniqueName="[RawDataGenPO].[Column12].[All]" allUniqueName="[RawDataGenPO].[Column12].[All]" dimensionUniqueName="[RawDataGenPO]" displayFolder="" count="0" memberValueDatatype="130" unbalanced="0"/>
    <cacheHierarchy uniqueName="[RawDataGenPO].[Remaining]" caption="Remaining" attribute="1" defaultMemberUniqueName="[RawDataGenPO].[Remaining].[All]" allUniqueName="[RawDataGenPO].[Remaining].[All]" dimensionUniqueName="[RawDataGenPO]" displayFolder="" count="0" memberValueDatatype="5" unbalanced="0"/>
    <cacheHierarchy uniqueName="[RawDataGenPO].[Vendor name]" caption="Vendor name" attribute="1" defaultMemberUniqueName="[RawDataGenPO].[Vendor name].[All]" allUniqueName="[RawDataGenPO].[Vendor name].[All]" dimensionUniqueName="[RawDataGenPO]" displayFolder="" count="0" memberValueDatatype="130" unbalanced="0"/>
    <cacheHierarchy uniqueName="[RawDataGenPO].[PR PO GRN Status]" caption="PR PO GRN Status" attribute="1" defaultMemberUniqueName="[RawDataGenPO].[PR PO GRN Status].[All]" allUniqueName="[RawDataGenPO].[PR PO GRN Status].[All]" dimensionUniqueName="[RawDataGenPO]" displayFolder="" count="0" memberValueDatatype="130" unbalanced="0"/>
    <cacheHierarchy uniqueName="[RawDataGenPO].[GRN No.]" caption="GRN No." attribute="1" defaultMemberUniqueName="[RawDataGenPO].[GRN No.].[All]" allUniqueName="[RawDataGenPO].[GRN No.].[All]" dimensionUniqueName="[RawDataGenPO]" displayFolder="" count="0" memberValueDatatype="130" unbalanced="0"/>
    <cacheHierarchy uniqueName="[RawDataGenPO].[Date recive bill]" caption="Date recive bill" attribute="1" time="1" defaultMemberUniqueName="[RawDataGenPO].[Date recive bill].[All]" allUniqueName="[RawDataGenPO].[Date recive bill].[All]" dimensionUniqueName="[RawDataGenPO]" displayFolder="" count="0" memberValueDatatype="7" unbalanced="0"/>
    <cacheHierarchy uniqueName="[RawDataGenPO].[Recive bill plan(DD-MM)]" caption="Recive bill plan(DD-MM)" attribute="1" defaultMemberUniqueName="[RawDataGenPO].[Recive bill plan(DD-MM)].[All]" allUniqueName="[RawDataGenPO].[Recive bill plan(DD-MM)].[All]" dimensionUniqueName="[RawDataGenPO]" displayFolder="" count="0" memberValueDatatype="130" unbalanced="0"/>
    <cacheHierarchy uniqueName="[RawDataGenPO].[GRN-PO date]" caption="GRN-PO date" attribute="1" defaultMemberUniqueName="[RawDataGenPO].[GRN-PO date].[All]" allUniqueName="[RawDataGenPO].[GRN-PO date].[All]" dimensionUniqueName="[RawDataGenPO]" displayFolder="" count="0" memberValueDatatype="130" unbalanced="0"/>
    <cacheHierarchy uniqueName="[RawDataGenPO].[KPI Status]" caption="KPI Status" attribute="1" defaultMemberUniqueName="[RawDataGenPO].[KPI Status].[All]" allUniqueName="[RawDataGenPO].[KPI Status].[All]" dimensionUniqueName="[RawDataGenPO]" displayFolder="" count="0" memberValueDatatype="130" unbalanced="0"/>
    <cacheHierarchy uniqueName="[RawDataGenPO].[Customer_Group]" caption="Customer_Group" attribute="1" defaultMemberUniqueName="[RawDataGenPO].[Customer_Group].[All]" allUniqueName="[RawDataGenPO].[Customer_Group].[All]" dimensionUniqueName="[RawDataGenPO]" displayFolder="" count="2" memberValueDatatype="130" unbalanced="0">
      <fieldsUsage count="2">
        <fieldUsage x="-1"/>
        <fieldUsage x="5"/>
      </fieldsUsage>
    </cacheHierarchy>
    <cacheHierarchy uniqueName="[RawDataGenPO].[Note]" caption="Note" attribute="1" defaultMemberUniqueName="[RawDataGenPO].[Note].[All]" allUniqueName="[RawDataGenPO].[Note].[All]" dimensionUniqueName="[RawDataGenPO]" displayFolder="" count="0" memberValueDatatype="130" unbalanced="0"/>
    <cacheHierarchy uniqueName="[Measures].[__XL_Count RawDataGenPO]" caption="__XL_Count RawDataGenPO" measure="1" displayFolder="" measureGroup="RawDataGenPO" count="0" hidden="1"/>
    <cacheHierarchy uniqueName="[Measures].[__No measures defined]" caption="__No measures defined" measure="1" displayFolder="" count="0" hidden="1"/>
    <cacheHierarchy uniqueName="[Measures].[Sum of Total price]" caption="Sum of Total price" measure="1" displayFolder="" measureGroup="RawDataGenPO"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Description]" caption="Count of Description" measure="1" displayFolder="" measureGroup="RawDataGenPO" count="0" hidden="1">
      <extLst>
        <ext xmlns:x15="http://schemas.microsoft.com/office/spreadsheetml/2010/11/main" uri="{B97F6D7D-B522-45F9-BDA1-12C45D357490}">
          <x15:cacheHierarchy aggregatedColumn="9"/>
        </ext>
      </extLst>
    </cacheHierarchy>
    <cacheHierarchy uniqueName="[Measures].[Count of PO No.]" caption="Count of PO No." measure="1" displayFolder="" measureGroup="RawDataGenPO" count="0" hidden="1">
      <extLst>
        <ext xmlns:x15="http://schemas.microsoft.com/office/spreadsheetml/2010/11/main" uri="{B97F6D7D-B522-45F9-BDA1-12C45D357490}">
          <x15:cacheHierarchy aggregatedColumn="4"/>
        </ext>
      </extLst>
    </cacheHierarchy>
    <cacheHierarchy uniqueName="[Measures].[Sum of No.]" caption="Sum of No." measure="1" displayFolder="" measureGroup="RawDataGenPO" count="0" hidden="1">
      <extLst>
        <ext xmlns:x15="http://schemas.microsoft.com/office/spreadsheetml/2010/11/main" uri="{B97F6D7D-B522-45F9-BDA1-12C45D357490}">
          <x15:cacheHierarchy aggregatedColumn="0"/>
        </ext>
      </extLst>
    </cacheHierarchy>
    <cacheHierarchy uniqueName="[Measures].[Count of Customer_Group]" caption="Count of Customer_Group" measure="1" displayFolder="" measureGroup="RawDataGenPO" count="0" hidden="1">
      <extLst>
        <ext xmlns:x15="http://schemas.microsoft.com/office/spreadsheetml/2010/11/main" uri="{B97F6D7D-B522-45F9-BDA1-12C45D357490}">
          <x15:cacheHierarchy aggregatedColumn="27"/>
        </ext>
      </extLst>
    </cacheHierarchy>
  </cacheHierarchies>
  <kpis count="0"/>
  <dimensions count="2">
    <dimension measure="1" name="Measures" uniqueName="[Measures]" caption="Measures"/>
    <dimension name="RawDataGenPO" uniqueName="[RawDataGenPO]" caption="RawDataGenPO"/>
  </dimensions>
  <measureGroups count="1">
    <measureGroup name="RawDataGenPO" caption="RawDataGenPO"/>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rilux Klaysuban" refreshedDate="46060.395774884259" createdVersion="8" refreshedVersion="8" minRefreshableVersion="3" recordCount="204" xr:uid="{07AC76B3-6CB5-4EBA-9622-4CE1D3362B45}">
  <cacheSource type="worksheet">
    <worksheetSource name="RawDataGenPO"/>
  </cacheSource>
  <cacheFields count="29">
    <cacheField name="No." numFmtId="0">
      <sharedItems containsSemiMixedTypes="0" containsString="0" containsNumber="1" containsInteger="1" minValue="1" maxValue="204"/>
    </cacheField>
    <cacheField name="Type of cost" numFmtId="0">
      <sharedItems containsBlank="1"/>
    </cacheField>
    <cacheField name="DMY Create PR" numFmtId="165">
      <sharedItems containsNonDate="0" containsDate="1" containsString="0" containsBlank="1" minDate="2025-11-11T00:00:00" maxDate="2026-02-07T00:00:00"/>
    </cacheField>
    <cacheField name="PR No." numFmtId="0">
      <sharedItems containsBlank="1"/>
    </cacheField>
    <cacheField name="PO No." numFmtId="0">
      <sharedItems containsBlank="1"/>
    </cacheField>
    <cacheField name="Date Gen PO" numFmtId="165">
      <sharedItems containsNonDate="0" containsDate="1" containsString="0" containsBlank="1" minDate="2025-11-13T00:00:00" maxDate="2026-01-30T00:00:00"/>
    </cacheField>
    <cacheField name="Lead time delivery (day)" numFmtId="0">
      <sharedItems containsString="0" containsBlank="1" containsNumber="1" containsInteger="1" minValue="30" maxValue="2000"/>
    </cacheField>
    <cacheField name="Item" numFmtId="0">
      <sharedItems containsBlank="1"/>
    </cacheField>
    <cacheField name="Sub PR  No." numFmtId="0">
      <sharedItems containsString="0" containsBlank="1" containsNumber="1" containsInteger="1" minValue="1" maxValue="18"/>
    </cacheField>
    <cacheField name="Description" numFmtId="0">
      <sharedItems containsBlank="1" longText="1"/>
    </cacheField>
    <cacheField name="Qty'" numFmtId="0">
      <sharedItems containsString="0" containsBlank="1" containsNumber="1" containsInteger="1" minValue="1" maxValue="10000"/>
    </cacheField>
    <cacheField name="Unit" numFmtId="0">
      <sharedItems containsBlank="1"/>
    </cacheField>
    <cacheField name="Price/Unit" numFmtId="164">
      <sharedItems containsMixedTypes="1" containsNumber="1" minValue="5.5" maxValue="1520000"/>
    </cacheField>
    <cacheField name="Total price" numFmtId="164">
      <sharedItems containsString="0" containsBlank="1" containsNumber="1" minValue="70" maxValue="1920000"/>
    </cacheField>
    <cacheField name="Approval status" numFmtId="164">
      <sharedItems containsNonDate="0" containsString="0" containsBlank="1"/>
    </cacheField>
    <cacheField name="Column1" numFmtId="164">
      <sharedItems containsString="0" containsBlank="1" containsNumber="1" minValue="0" maxValue="1120983.81"/>
    </cacheField>
    <cacheField name="Column14" numFmtId="164">
      <sharedItems containsString="0" containsBlank="1" containsNumber="1" minValue="49700" maxValue="448000"/>
    </cacheField>
    <cacheField name="Column13" numFmtId="164">
      <sharedItems containsString="0" containsBlank="1" containsNumber="1" containsInteger="1" minValue="91350" maxValue="896000"/>
    </cacheField>
    <cacheField name="Column12" numFmtId="164">
      <sharedItems containsNonDate="0" containsString="0" containsBlank="1"/>
    </cacheField>
    <cacheField name="Remaining" numFmtId="164">
      <sharedItems containsSemiMixedTypes="0" containsString="0" containsNumber="1" minValue="-8360" maxValue="1520000"/>
    </cacheField>
    <cacheField name="Vendor name" numFmtId="0">
      <sharedItems containsBlank="1"/>
    </cacheField>
    <cacheField name="PR PO GRN Status" numFmtId="0">
      <sharedItems containsBlank="1" count="18">
        <s v="Waitting Supplier transportation "/>
        <s v="Recive bill and GRN already"/>
        <m/>
        <s v="Inbetween waitting supplier Fix/Install/Other" u="1"/>
        <s v="Waitting  SATS inspace Jobs" u="1"/>
        <s v="Waitting  Recive bill and GRN " u="1"/>
        <s v="Inbetween Purchase sourcing and compare price" u="1"/>
        <s v="Waitting  Purchasing approve  PO" u="1"/>
        <s v="Waitting  Supplier Install" u="1"/>
        <s v="Waitting  GM  Approve Compare price FO-SF13-015" u="1"/>
        <s v="Waitting  GM  Approve Compare price FO-SF13-016" u="1"/>
        <s v="Waitting  DGM Support Approve PR" u="1"/>
        <s v="Waitting Mgr. Maintenance  Approve in Compare price FO-SF13-015" u="1"/>
        <s v="Waitting Mgr. Maintenance  Approve in Compare price FO-SF13-016" u="1"/>
        <s v="Confirmed" u="1"/>
        <s v="Inbetween Supplier Fix/Install" u="1"/>
        <s v="Waitting  Recive bill and GRN" u="1"/>
        <s v="Engineering approved" u="1"/>
      </sharedItems>
    </cacheField>
    <cacheField name="GRN No." numFmtId="0">
      <sharedItems containsBlank="1"/>
    </cacheField>
    <cacheField name="Date recive bill" numFmtId="166">
      <sharedItems containsNonDate="0" containsDate="1" containsString="0" containsBlank="1" minDate="2025-01-17T00:00:00" maxDate="2026-02-07T00:00:00"/>
    </cacheField>
    <cacheField name="Recive bill plan(DD-MM)" numFmtId="166">
      <sharedItems containsNonDate="0" containsString="0" containsBlank="1"/>
    </cacheField>
    <cacheField name="GRN-PO date" numFmtId="2">
      <sharedItems containsMixedTypes="1" containsNumber="1" containsInteger="1" minValue="-46044" maxValue="67"/>
    </cacheField>
    <cacheField name="KPI Status" numFmtId="166">
      <sharedItems/>
    </cacheField>
    <cacheField name="Customer_Group" numFmtId="166">
      <sharedItems containsBlank="1"/>
    </cacheField>
    <cacheField name="Note" numFmtId="0">
      <sharedItems containsBlank="1"/>
    </cacheField>
  </cacheFields>
  <extLst>
    <ext xmlns:x14="http://schemas.microsoft.com/office/spreadsheetml/2009/9/main" uri="{725AE2AE-9491-48be-B2B4-4EB974FC3084}">
      <x14:pivotCacheDefinition pivotCacheId="16985433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4">
  <r>
    <n v="1"/>
    <s v="Expent  cost for stage 2"/>
    <d v="2025-11-11T00:00:00"/>
    <s v="PR2526-03195"/>
    <s v="PO2526-04375"/>
    <d v="2025-11-13T00:00:00"/>
    <n v="450"/>
    <s v="SFST81000006"/>
    <n v="1"/>
    <s v="SERVICE IPM PROGRAM  Stage 2 _x000a_- Pest Elimination Program_x000a_- Crawling Insect Program (Cockroach, Termite and Common Ant)_x000a_- Rodent_x000a_- Flying Insects (Flies, Mosquito)_x000a_- Small Lizard_x000a_- Installation and service 34 units of Stealth Maxima"/>
    <n v="12"/>
    <s v="JOB."/>
    <n v="56250"/>
    <n v="675000"/>
    <m/>
    <m/>
    <m/>
    <m/>
    <m/>
    <n v="675000"/>
    <s v="V1000778 - ECOLAB CO., LTD."/>
    <x v="0"/>
    <m/>
    <m/>
    <m/>
    <n v="-45974"/>
    <s v="Ontime"/>
    <s v="QA"/>
    <m/>
  </r>
  <r>
    <n v="2"/>
    <s v="Expent  cost for stage 2"/>
    <d v="2025-11-11T00:00:00"/>
    <s v="PR2526-03195"/>
    <s v="PO2526-04375"/>
    <d v="2025-11-13T00:00:00"/>
    <n v="450"/>
    <s v="SFST81000006"/>
    <n v="2"/>
    <s v="SERVICE BIRD_x000a_- Inspection for bird risk assessment and recommendation_x000a_- Removal bird's nests around the factory from a height of no more than 10 meters from the ground._x000a__x000a__x000a_Details are referenced according to the attached contract."/>
    <n v="12"/>
    <s v="JOB."/>
    <n v="12500"/>
    <n v="150000"/>
    <m/>
    <m/>
    <m/>
    <m/>
    <m/>
    <n v="150000"/>
    <s v="V1000778 - ECOLAB CO., LTD."/>
    <x v="0"/>
    <m/>
    <m/>
    <m/>
    <n v="-45974"/>
    <s v="Ontime"/>
    <s v="QA"/>
    <m/>
  </r>
  <r>
    <n v="3"/>
    <s v="CAPEX  (Budget)"/>
    <d v="2025-11-11T00:00:00"/>
    <s v="PR2526-03201"/>
    <s v="PO2526-04691"/>
    <d v="2025-11-27T00:00:00"/>
    <n v="120"/>
    <s v="SFST82000016"/>
    <n v="1"/>
    <s v="Short Needle Thermocouple, Taper"/>
    <n v="1"/>
    <s v="JOB."/>
    <n v="158000"/>
    <n v="158000"/>
    <m/>
    <n v="158000"/>
    <m/>
    <m/>
    <m/>
    <n v="0"/>
    <s v="V1000718 - PP SYSTEMS COMPANY LIMITED"/>
    <x v="1"/>
    <s v="GRN2526-0005965"/>
    <d v="2025-12-12T00:00:00"/>
    <m/>
    <n v="15"/>
    <s v="Ontime"/>
    <s v="QA"/>
    <s v="รับGRN By QA"/>
  </r>
  <r>
    <n v="4"/>
    <s v="CAPEX  (Budget)"/>
    <d v="2025-11-11T00:00:00"/>
    <s v="PR2526-03201"/>
    <s v="PO2526-04691"/>
    <d v="2025-11-27T00:00:00"/>
    <n v="120"/>
    <s v="SFST82000016"/>
    <n v="2"/>
    <s v="Collar, Diameter 1.6mm / 40mm Long, Type K - 3.5m long Needle Thermocouple calibration at -15°C, 95°C, 98°C,  100°C_x000a__x000a_Ref . QT SO-2510048"/>
    <n v="1"/>
    <s v="JOB."/>
    <n v="2500"/>
    <n v="2500"/>
    <m/>
    <n v="2500"/>
    <m/>
    <m/>
    <m/>
    <n v="0"/>
    <s v="V1000718 - PP SYSTEMS COMPANY LIMITED"/>
    <x v="1"/>
    <s v="GRN2526-0005965"/>
    <d v="2025-12-12T00:00:00"/>
    <m/>
    <n v="15"/>
    <s v="Ontime"/>
    <s v="QA"/>
    <s v="รับGRN By QA"/>
  </r>
  <r>
    <n v="5"/>
    <s v="CAPEX  (Budget)"/>
    <d v="2025-11-11T00:00:00"/>
    <s v="PR2526-03201"/>
    <s v="PO2526-04692"/>
    <d v="2025-11-27T00:00:00"/>
    <n v="120"/>
    <s v="SFST82000016"/>
    <n v="1"/>
    <s v="5 DAYS TEMPERATURE PROFILE LOAN 20 CH."/>
    <n v="1"/>
    <s v="JOB."/>
    <n v="104000"/>
    <n v="104000"/>
    <m/>
    <n v="104000"/>
    <m/>
    <m/>
    <m/>
    <n v="0"/>
    <s v="V1000718 - PP SYSTEMS COMPANY LIMITED"/>
    <x v="1"/>
    <s v="GRN2526-0007830"/>
    <d v="2026-02-02T00:00:00"/>
    <m/>
    <n v="67"/>
    <s v="Ontime"/>
    <s v="QA"/>
    <m/>
  </r>
  <r>
    <n v="6"/>
    <s v="CAPEX  (Budget)"/>
    <d v="2025-11-11T00:00:00"/>
    <s v="PR2526-03201"/>
    <s v="PO2526-04692"/>
    <d v="2025-11-27T00:00:00"/>
    <n v="120"/>
    <s v="SFST82000016"/>
    <n v="2"/>
    <s v="5 DAYS TEMPERATURE PROFILE LOAN 20 CH. (Additional per Day)"/>
    <n v="1"/>
    <s v="JOB."/>
    <n v="20800"/>
    <n v="20800"/>
    <m/>
    <n v="20800"/>
    <m/>
    <m/>
    <m/>
    <n v="0"/>
    <s v="V1000718 - PP SYSTEMS COMPANY LIMITED"/>
    <x v="1"/>
    <s v="GRN2526-0007830"/>
    <d v="2026-02-02T00:00:00"/>
    <m/>
    <n v="67"/>
    <s v="Ontime"/>
    <s v="QA"/>
    <m/>
  </r>
  <r>
    <n v="7"/>
    <s v="CAPEX  (Budget)"/>
    <d v="2025-11-11T00:00:00"/>
    <s v="PR2526-03201"/>
    <s v="PO2526-04688"/>
    <d v="2025-11-27T00:00:00"/>
    <n v="120"/>
    <s v="SFST82000016"/>
    <n v="1"/>
    <s v="PhoenixTM 20 Channel Food System_x000a__x000a_Ref QT SO-2509176"/>
    <n v="1"/>
    <s v="JOB."/>
    <n v="795000"/>
    <n v="795000"/>
    <m/>
    <m/>
    <m/>
    <m/>
    <m/>
    <n v="795000"/>
    <s v="V1000718 - PP SYSTEMS COMPANY LIMITED"/>
    <x v="0"/>
    <m/>
    <m/>
    <m/>
    <n v="-45988"/>
    <s v="Ontime"/>
    <s v="PD"/>
    <m/>
  </r>
  <r>
    <n v="8"/>
    <s v="CAPEX  (Budget)"/>
    <d v="2025-11-11T00:00:00"/>
    <s v="PR2526-03201"/>
    <s v="PO2526-04688"/>
    <d v="2025-11-27T00:00:00"/>
    <n v="120"/>
    <s v="SFST82000016"/>
    <n v="2"/>
    <s v="TXR -S-TX RF Telemetry system comprises Co-ordinator,Router,Antenna LT and Data Logger transmitter module .ETC_x000a__x000a_Ref QT SO-2509176"/>
    <n v="1"/>
    <s v="JOB."/>
    <n v="245000"/>
    <n v="245000"/>
    <m/>
    <m/>
    <m/>
    <m/>
    <m/>
    <n v="245000"/>
    <s v="V1000718 - PP SYSTEMS COMPANY LIMITED"/>
    <x v="0"/>
    <m/>
    <m/>
    <m/>
    <n v="-45988"/>
    <s v="Ontime"/>
    <s v="PD"/>
    <m/>
  </r>
  <r>
    <n v="9"/>
    <s v="CAPEX  (Budget)"/>
    <d v="2025-11-11T00:00:00"/>
    <s v="PR2526-03202"/>
    <s v="PO2526-04608"/>
    <d v="2025-11-24T00:00:00"/>
    <n v="120"/>
    <s v="SFST82000016"/>
    <n v="1"/>
    <s v="Working table Type A (For 6-persons) (No.1)_x000a_Sizc: 1000x1800x850 mm."/>
    <n v="6"/>
    <s v="PCS."/>
    <n v="12600"/>
    <n v="75600"/>
    <m/>
    <n v="75600"/>
    <m/>
    <m/>
    <m/>
    <n v="0"/>
    <s v="V1000302 - AJ KITCHEN &amp; SERVICE CO.,LTD"/>
    <x v="1"/>
    <s v="GRN2526-0006408"/>
    <d v="2025-12-22T00:00:00"/>
    <m/>
    <n v="28"/>
    <s v="Ontime"/>
    <s v="PD"/>
    <m/>
  </r>
  <r>
    <n v="10"/>
    <s v="CAPEX  (Budget)"/>
    <d v="2025-11-11T00:00:00"/>
    <s v="PR2526-03202"/>
    <s v="PO2526-04689"/>
    <d v="2025-11-27T00:00:00"/>
    <n v="120"/>
    <s v="SFST82000016"/>
    <n v="2"/>
    <s v="Working table Type B (No.2) Size: 700x900x850 mm."/>
    <n v="1"/>
    <s v="PCS."/>
    <n v="6500"/>
    <n v="6500"/>
    <m/>
    <m/>
    <m/>
    <m/>
    <m/>
    <n v="6500"/>
    <s v="V1000937 - HKS HI-END KITCHENS SPECIALISTS COMPANY LIMITED"/>
    <x v="0"/>
    <m/>
    <m/>
    <m/>
    <n v="-45988"/>
    <s v="Ontime"/>
    <s v="PD"/>
    <m/>
  </r>
  <r>
    <n v="11"/>
    <s v="CAPEX  (Budget)"/>
    <d v="2025-11-11T00:00:00"/>
    <s v="PR2526-03202"/>
    <s v="PO2526-04607"/>
    <d v="2025-11-24T00:00:00"/>
    <n v="120"/>
    <s v="SFST82000016"/>
    <n v="3"/>
    <s v="Working table Type C (No.3)_x000a_Size: 600x1200x850 mm."/>
    <n v="25"/>
    <s v="PCS."/>
    <n v="6500"/>
    <n v="162500"/>
    <m/>
    <n v="162500"/>
    <m/>
    <m/>
    <m/>
    <n v="0"/>
    <s v="V1000287 - SIAM STAINLESS &amp; FURNITURE CO., LTD."/>
    <x v="1"/>
    <s v="GRN2526-0005921"/>
    <d v="2025-12-12T00:00:00"/>
    <m/>
    <n v="18"/>
    <s v="Ontime"/>
    <s v="PD"/>
    <m/>
  </r>
  <r>
    <n v="12"/>
    <s v="CAPEX  (Budget)"/>
    <d v="2025-11-11T00:00:00"/>
    <s v="PR2526-03202"/>
    <s v="PO2526-04689"/>
    <d v="2025-11-27T00:00:00"/>
    <n v="120"/>
    <s v="SFST82000016"/>
    <n v="4"/>
    <s v="Mobile Record Keeping/QA Table (No.4)_x000a_Sizc: 600xti00x850 mm."/>
    <n v="29"/>
    <s v="PCS."/>
    <n v="10500"/>
    <n v="304500"/>
    <m/>
    <m/>
    <m/>
    <m/>
    <m/>
    <n v="304500"/>
    <s v="V1000937 - HKS HI-END KITCHENS SPECIALISTS COMPANY LIMITED"/>
    <x v="0"/>
    <m/>
    <m/>
    <m/>
    <n v="-45988"/>
    <s v="Ontime"/>
    <s v="PD"/>
    <m/>
  </r>
  <r>
    <n v="13"/>
    <s v="CAPEX  (Budget)"/>
    <d v="2025-11-11T00:00:00"/>
    <s v="PR2526-03202"/>
    <s v="PO2526-04689"/>
    <d v="2025-11-27T00:00:00"/>
    <n v="120"/>
    <s v="SFST82000016"/>
    <n v="5"/>
    <s v="Shelving Unit (No.5)_x000a_Size: 700x2000x 1500 mm."/>
    <n v="5"/>
    <s v="PCS."/>
    <n v="1800"/>
    <n v="9000"/>
    <m/>
    <m/>
    <m/>
    <m/>
    <m/>
    <n v="9000"/>
    <s v="V1000937 - HKS HI-END KITCHENS SPECIALISTS COMPANY LIMITED"/>
    <x v="0"/>
    <m/>
    <m/>
    <m/>
    <n v="-45988"/>
    <s v="Ontime"/>
    <s v="PD"/>
    <m/>
  </r>
  <r>
    <n v="14"/>
    <s v="Expent  cost for stage 2"/>
    <d v="2025-11-11T00:00:00"/>
    <s v="PR2526-03206"/>
    <s v="PO2526-04684"/>
    <d v="2025-11-27T00:00:00"/>
    <n v="180"/>
    <s v="SFST81000050"/>
    <n v="1"/>
    <s v="GN Tray 2/1"/>
    <n v="1000"/>
    <s v="PCS."/>
    <n v="1780"/>
    <n v="1780000"/>
    <m/>
    <n v="712000"/>
    <m/>
    <m/>
    <m/>
    <n v="1068000"/>
    <s v="V1000948 - SIAM INTERMAGNATE CO., LTD."/>
    <x v="1"/>
    <s v="GRN2526-0005872"/>
    <m/>
    <m/>
    <n v="-45988"/>
    <s v="Ontime"/>
    <s v="PD"/>
    <m/>
  </r>
  <r>
    <n v="15"/>
    <s v="Expent  cost for stage 2"/>
    <d v="2025-11-11T00:00:00"/>
    <s v="PR2526-03206"/>
    <s v="PO2526-04684"/>
    <d v="2025-11-27T00:00:00"/>
    <n v="180"/>
    <s v="SFST81000050"/>
    <n v="2"/>
    <s v="GN Tray 2/1 Perforated"/>
    <n v="200"/>
    <s v="PCS."/>
    <n v="2040"/>
    <n v="408000"/>
    <m/>
    <n v="163200"/>
    <m/>
    <m/>
    <m/>
    <n v="244800"/>
    <s v="V1000948 - SIAM INTERMAGNATE CO., LTD."/>
    <x v="1"/>
    <s v="GRN2526-0005872"/>
    <m/>
    <m/>
    <n v="-45988"/>
    <s v="Ontime"/>
    <s v="PD"/>
    <m/>
  </r>
  <r>
    <n v="16"/>
    <s v="Expent  cost for stage 2"/>
    <d v="2025-11-11T00:00:00"/>
    <s v="PR2526-03206"/>
    <s v="PO2526-04684"/>
    <d v="2025-11-27T00:00:00"/>
    <n v="180"/>
    <s v="SFST81000050"/>
    <n v="3"/>
    <s v="Cover GN Tray"/>
    <n v="1200"/>
    <s v="PCS."/>
    <n v="970"/>
    <n v="1164000"/>
    <m/>
    <n v="465600"/>
    <m/>
    <m/>
    <m/>
    <n v="698400"/>
    <s v="V1000948 - SIAM INTERMAGNATE CO., LTD."/>
    <x v="1"/>
    <s v="GRN2526-0005872"/>
    <m/>
    <m/>
    <n v="-45988"/>
    <s v="Ontime"/>
    <s v="PD"/>
    <m/>
  </r>
  <r>
    <n v="17"/>
    <s v="Expent  cost for stage 2"/>
    <d v="2025-11-11T00:00:00"/>
    <s v="PR2526-03206"/>
    <s v="PO2526-04685 "/>
    <d v="2025-11-27T00:00:00"/>
    <n v="120"/>
    <s v="SFST81000050"/>
    <n v="4"/>
    <s v="Grid Shelf"/>
    <n v="383"/>
    <s v="PCS."/>
    <n v="1000"/>
    <n v="383000"/>
    <m/>
    <n v="114900"/>
    <n v="84000"/>
    <n v="184100"/>
    <m/>
    <n v="0"/>
    <s v="V1000255 - Micropure Co.,ltd."/>
    <x v="1"/>
    <s v="GRN2526-0006168,GRN2526-0007261,GRN2526-0007604"/>
    <d v="2025-12-17T00:00:00"/>
    <m/>
    <n v="20"/>
    <s v="Ontime"/>
    <s v="PD"/>
    <m/>
  </r>
  <r>
    <n v="18"/>
    <s v="CAPEX  (Budget)"/>
    <d v="2025-11-11T00:00:00"/>
    <s v="PR2526-03209"/>
    <s v="PO2526-04686"/>
    <d v="2025-11-27T00:00:00"/>
    <n v="120"/>
    <s v="SFST82000016"/>
    <n v="1"/>
    <s v="GN Trolley"/>
    <n v="120"/>
    <s v="PCS."/>
    <n v="16000"/>
    <n v="1920000"/>
    <m/>
    <n v="576000"/>
    <n v="448000"/>
    <n v="896000"/>
    <m/>
    <n v="0"/>
    <s v="V1000255 - Micropure Co.,ltd."/>
    <x v="1"/>
    <s v="GRN2526-0006169,GRN2526-0007260"/>
    <d v="2025-12-17T00:00:00"/>
    <m/>
    <n v="20"/>
    <s v="Ontime"/>
    <s v="PD"/>
    <m/>
  </r>
  <r>
    <n v="19"/>
    <s v="CAPEX  (Budget)"/>
    <d v="2025-11-11T00:00:00"/>
    <s v="PR2526-03209"/>
    <s v="PO2526-04686"/>
    <d v="2025-11-27T00:00:00"/>
    <n v="120"/>
    <s v="SFST82000016"/>
    <n v="2"/>
    <s v="Thawing trolley"/>
    <n v="40"/>
    <s v="PCS."/>
    <n v="19500"/>
    <n v="780000"/>
    <m/>
    <n v="234000"/>
    <n v="163800"/>
    <n v="382200"/>
    <m/>
    <n v="0"/>
    <s v="V1000255 - Micropure Co.,ltd."/>
    <x v="1"/>
    <s v="GRN2526-0006169,GRN2526-0007257,GRN2526-0007602"/>
    <d v="2025-12-17T00:00:00"/>
    <m/>
    <n v="20"/>
    <s v="Ontime"/>
    <s v="PD"/>
    <m/>
  </r>
  <r>
    <n v="20"/>
    <s v="CAPEX  (Budget)"/>
    <d v="2025-11-11T00:00:00"/>
    <s v="PR2526-03209"/>
    <s v="PO2526-04686"/>
    <d v="2025-11-27T00:00:00"/>
    <n v="120"/>
    <s v="SFST82000016"/>
    <n v="3"/>
    <s v="Eurobin"/>
    <n v="18"/>
    <s v="PCS."/>
    <n v="14500"/>
    <n v="261000"/>
    <m/>
    <n v="78300"/>
    <n v="91350"/>
    <n v="91350"/>
    <m/>
    <n v="0"/>
    <s v="V1000255 - Micropure Co.,ltd."/>
    <x v="1"/>
    <s v="GRN2526-0006169,GRN2526-0007258,GRN2526-0007263"/>
    <d v="2025-12-17T00:00:00"/>
    <m/>
    <n v="20"/>
    <s v="Ontime"/>
    <s v="PD"/>
    <m/>
  </r>
  <r>
    <n v="21"/>
    <s v="CAPEX  (Budget)"/>
    <d v="2025-11-11T00:00:00"/>
    <s v="PR2526-03209"/>
    <s v="PO2526-04686"/>
    <d v="2025-11-27T00:00:00"/>
    <n v="120"/>
    <s v="SFST82000016"/>
    <n v="4"/>
    <s v="Food tray table"/>
    <n v="74"/>
    <s v="PCS."/>
    <n v="9750"/>
    <n v="721500"/>
    <m/>
    <n v="216450"/>
    <n v="163800"/>
    <n v="341250"/>
    <m/>
    <n v="0"/>
    <s v="V1000255 - Micropure Co.,ltd."/>
    <x v="1"/>
    <s v="GRN2526-0006169,GRN2526-0007256,GRN2526-0007350"/>
    <d v="2025-12-17T00:00:00"/>
    <m/>
    <n v="20"/>
    <s v="Ontime"/>
    <s v="PD"/>
    <m/>
  </r>
  <r>
    <n v="22"/>
    <s v="CAPEX  (Budget)"/>
    <d v="2025-11-11T00:00:00"/>
    <s v="PR2526-03209"/>
    <s v="PO2526-04686"/>
    <d v="2025-11-27T00:00:00"/>
    <n v="120"/>
    <s v="SFST82000016"/>
    <n v="5"/>
    <s v="Wheel cart for 601 Pot"/>
    <n v="72"/>
    <s v="PCS."/>
    <n v="6350"/>
    <n v="457200"/>
    <m/>
    <n v="137160"/>
    <n v="133350"/>
    <n v="186690"/>
    <m/>
    <n v="0"/>
    <s v="V1000255 - Micropure Co.,ltd."/>
    <x v="1"/>
    <s v="GRN2526-0006169,GRN2526-0007255,GRN2526-0007262"/>
    <d v="2025-12-17T00:00:00"/>
    <m/>
    <n v="20"/>
    <s v="Ontime"/>
    <s v="PD"/>
    <m/>
  </r>
  <r>
    <n v="23"/>
    <s v="CAPEX  (Budget)"/>
    <d v="2025-11-11T00:00:00"/>
    <s v="PR2526-03209"/>
    <s v="PO2526-04686"/>
    <d v="2025-11-27T00:00:00"/>
    <n v="120"/>
    <s v="SFST82000016"/>
    <n v="6"/>
    <s v="Basket cart"/>
    <n v="21"/>
    <s v="PCS."/>
    <n v="5850"/>
    <n v="122850"/>
    <m/>
    <n v="36855"/>
    <n v="85995"/>
    <m/>
    <m/>
    <n v="0"/>
    <s v="V1000255 - Micropure Co.,ltd."/>
    <x v="1"/>
    <s v="GRN2526-0006169,GRN2526-0007264"/>
    <d v="2025-12-17T00:00:00"/>
    <m/>
    <n v="20"/>
    <s v="Ontime"/>
    <s v="PD"/>
    <m/>
  </r>
  <r>
    <n v="24"/>
    <s v="CAPEX  (Budget)"/>
    <d v="2025-11-11T00:00:00"/>
    <s v="PR2526-03209"/>
    <s v="PO2526-04686"/>
    <d v="2025-11-27T00:00:00"/>
    <n v="120"/>
    <s v="SFST82000016"/>
    <n v="7"/>
    <s v="Eurobin Wash Frame"/>
    <n v="2"/>
    <s v="PCS."/>
    <n v="35500"/>
    <n v="71000"/>
    <m/>
    <n v="21300"/>
    <n v="49700"/>
    <m/>
    <m/>
    <n v="0"/>
    <s v="V1000255 - Micropure Co.,ltd."/>
    <x v="1"/>
    <s v="GRN2526-0006169,GRN2526-0007259"/>
    <d v="2025-12-17T00:00:00"/>
    <m/>
    <n v="20"/>
    <s v="Ontime"/>
    <s v="PD"/>
    <m/>
  </r>
  <r>
    <n v="25"/>
    <s v="Expent  cost for stage 2"/>
    <d v="2025-11-11T00:00:00"/>
    <s v="PR2526-03211"/>
    <s v="PO2526-04369"/>
    <d v="2025-11-13T00:00:00"/>
    <n v="60"/>
    <s v="SFST11000070"/>
    <n v="1"/>
    <s v="ก๊าซปิโตรเลียมเหลว ( LPG)"/>
    <n v="7773"/>
    <s v="KG."/>
    <n v="22.11"/>
    <n v="171861.03"/>
    <m/>
    <n v="171861.03"/>
    <m/>
    <m/>
    <m/>
    <n v="0"/>
    <s v="V1000786 - UNIQUE GAS &amp; PETROCHEMICALS PUBLIC COMPANY LIMITED"/>
    <x v="1"/>
    <s v="GRN2526-0005414"/>
    <d v="2025-11-19T00:00:00"/>
    <m/>
    <n v="6"/>
    <s v="Ontime"/>
    <s v="MN"/>
    <m/>
  </r>
  <r>
    <n v="26"/>
    <s v="Expent  cost for stage 2"/>
    <d v="2025-11-15T00:00:00"/>
    <s v="PR2526-03269"/>
    <s v="PO2526-04566"/>
    <d v="2025-11-24T00:00:00"/>
    <n v="120"/>
    <s v="SFST81000078"/>
    <n v="1"/>
    <s v="Factory Cleaning Stage 2 for 2 Time_x000a_- Hight risk_x000a_- Low risk_x000a_- Meduim risk_x000a_Including cleaning of floors, walls, ceilings, air conditioners, and machinery._x000a_1) First cleaning for FDA audit_x000a_Cleaning results verified by ATP test results_x000a_300 Test If the test result fails, repeat the cleaning_x000a_2) Cleaning for DLD audit in January 2026"/>
    <n v="1"/>
    <s v="JOB."/>
    <n v="1150000"/>
    <n v="1150000"/>
    <m/>
    <n v="345000"/>
    <n v="345000"/>
    <m/>
    <m/>
    <n v="460000"/>
    <s v="V1000799 - LALIN CLEAN TECH CO., LTD."/>
    <x v="1"/>
    <s v="GRN2526-0006106,GRN2526-0007375"/>
    <d v="2025-12-16T00:00:00"/>
    <m/>
    <n v="22"/>
    <s v="Ontime"/>
    <s v="QA"/>
    <m/>
  </r>
  <r>
    <n v="27"/>
    <s v="Expent  cost for stage 2"/>
    <d v="2025-11-17T00:00:00"/>
    <s v="PR2526-03275"/>
    <s v="PO2526-04540"/>
    <d v="2025-11-18T00:00:00"/>
    <n v="30"/>
    <s v="SFST81000050"/>
    <n v="1"/>
    <s v="HAND FRESH-66"/>
    <n v="5"/>
    <s v="Pack"/>
    <n v="620"/>
    <n v="3100"/>
    <m/>
    <n v="3100"/>
    <m/>
    <m/>
    <m/>
    <n v="0"/>
    <s v="V1000778 - ECOLAB CO., LTD."/>
    <x v="1"/>
    <s v="GRN2526-0005523"/>
    <d v="2025-11-21T00:00:00"/>
    <m/>
    <n v="3"/>
    <s v="Ontime"/>
    <s v="QA"/>
    <m/>
  </r>
  <r>
    <n v="28"/>
    <s v="Expent  cost for stage 2"/>
    <d v="2025-11-17T00:00:00"/>
    <s v="PR2526-03275"/>
    <s v="PO2526-04540"/>
    <d v="2025-11-18T00:00:00"/>
    <n v="30"/>
    <s v="SFST81000050"/>
    <n v="2"/>
    <s v="CLICK 10"/>
    <n v="10"/>
    <s v="Pack"/>
    <n v="675"/>
    <n v="6750"/>
    <m/>
    <n v="6750"/>
    <m/>
    <m/>
    <m/>
    <n v="0"/>
    <s v="V1000778 - ECOLAB CO., LTD."/>
    <x v="1"/>
    <s v="GRN2526-0005523"/>
    <d v="2025-11-21T00:00:00"/>
    <m/>
    <n v="3"/>
    <s v="Ontime"/>
    <s v="QA"/>
    <m/>
  </r>
  <r>
    <n v="29"/>
    <s v="Expent  cost for stage 2"/>
    <d v="2025-11-17T00:00:00"/>
    <s v="PR2526-03275"/>
    <s v="PO2526-04540"/>
    <d v="2025-11-18T00:00:00"/>
    <n v="30"/>
    <s v="SFST81000050"/>
    <n v="3"/>
    <s v="TOPAX 16SF"/>
    <n v="12"/>
    <s v="Pack"/>
    <n v="2275"/>
    <n v="27300"/>
    <m/>
    <n v="27300"/>
    <m/>
    <m/>
    <m/>
    <n v="0"/>
    <s v="V1000778 - ECOLAB CO., LTD."/>
    <x v="1"/>
    <s v="GRN2526-0005523"/>
    <d v="2025-11-21T00:00:00"/>
    <m/>
    <n v="3"/>
    <s v="Ontime"/>
    <s v="QA"/>
    <m/>
  </r>
  <r>
    <n v="30"/>
    <s v="Expent  cost for stage 2"/>
    <d v="2025-11-17T00:00:00"/>
    <s v="PR2526-03275"/>
    <s v="PO2526-04540"/>
    <d v="2025-11-18T00:00:00"/>
    <n v="30"/>
    <s v="SFST81000050"/>
    <n v="4"/>
    <s v="QUORUM PINK II HE"/>
    <n v="12"/>
    <s v="Pack"/>
    <n v="3450"/>
    <n v="41400"/>
    <m/>
    <n v="41400"/>
    <m/>
    <m/>
    <m/>
    <n v="0"/>
    <s v="V1000778 - ECOLAB CO., LTD."/>
    <x v="1"/>
    <s v="GRN2526-0005523"/>
    <d v="2025-11-21T00:00:00"/>
    <m/>
    <n v="3"/>
    <s v="Ontime"/>
    <s v="QA"/>
    <m/>
  </r>
  <r>
    <n v="31"/>
    <s v="Expent  cost for stage 2"/>
    <d v="2025-11-17T00:00:00"/>
    <s v="PR2526-03275"/>
    <s v="PO2526-04540"/>
    <d v="2025-11-18T00:00:00"/>
    <n v="30"/>
    <s v="SFST81000050"/>
    <n v="5"/>
    <s v="TOPAZ AC3"/>
    <n v="5"/>
    <s v="Pack"/>
    <n v="2375"/>
    <n v="11875"/>
    <m/>
    <n v="11875"/>
    <m/>
    <m/>
    <m/>
    <n v="0"/>
    <s v="V1000778 - ECOLAB CO., LTD."/>
    <x v="1"/>
    <s v="GRN2526-0005523"/>
    <d v="2025-11-21T00:00:00"/>
    <m/>
    <n v="3"/>
    <s v="Ontime"/>
    <s v="QA"/>
    <m/>
  </r>
  <r>
    <n v="32"/>
    <s v="Expent  cost for stage 2"/>
    <d v="2025-11-17T00:00:00"/>
    <s v="PR2526-03275"/>
    <s v="PO2526-04540"/>
    <d v="2025-11-18T00:00:00"/>
    <n v="30"/>
    <s v="SFST81000050"/>
    <n v="6"/>
    <s v="ТОРАХ 91-66"/>
    <n v="6"/>
    <s v="Pack"/>
    <n v="2850"/>
    <n v="17100"/>
    <m/>
    <n v="17100"/>
    <m/>
    <m/>
    <m/>
    <n v="0"/>
    <s v="V1000778 - ECOLAB CO., LTD."/>
    <x v="1"/>
    <s v="GRN2526-0005523"/>
    <d v="2025-11-21T00:00:00"/>
    <m/>
    <n v="3"/>
    <s v="Ontime"/>
    <s v="QA"/>
    <m/>
  </r>
  <r>
    <n v="33"/>
    <s v="Expent  cost for stage 2"/>
    <d v="2025-11-17T00:00:00"/>
    <s v="PR2526-03275"/>
    <s v="PO2526-04540"/>
    <d v="2025-11-18T00:00:00"/>
    <n v="30"/>
    <s v="SFST81000050"/>
    <n v="7"/>
    <s v="OXONIA ACTIVE"/>
    <n v="2"/>
    <s v="Pack"/>
    <n v="2125"/>
    <n v="4250"/>
    <m/>
    <n v="4250"/>
    <m/>
    <m/>
    <m/>
    <n v="0"/>
    <s v="V1000778 - ECOLAB CO., LTD."/>
    <x v="1"/>
    <s v="GRN2526-0005523"/>
    <d v="2025-11-21T00:00:00"/>
    <m/>
    <n v="3"/>
    <s v="Ontime"/>
    <s v="QA"/>
    <m/>
  </r>
  <r>
    <n v="34"/>
    <s v="Expent  cost for stage 2"/>
    <d v="2025-11-17T00:00:00"/>
    <s v="PR2526-03275"/>
    <s v="PO2526-04540"/>
    <d v="2025-11-18T00:00:00"/>
    <n v="30"/>
    <s v="SFST81000050"/>
    <n v="8"/>
    <s v="MIP LIQUID"/>
    <n v="5"/>
    <s v="Pack"/>
    <n v="1665"/>
    <n v="8325"/>
    <m/>
    <n v="8325"/>
    <m/>
    <m/>
    <m/>
    <n v="0"/>
    <s v="V1000778 - ECOLAB CO., LTD."/>
    <x v="1"/>
    <s v="GRN2526-0005523"/>
    <d v="2025-11-21T00:00:00"/>
    <m/>
    <n v="3"/>
    <s v="Ontime"/>
    <s v="QA"/>
    <m/>
  </r>
  <r>
    <n v="35"/>
    <s v="Expent  cost for stage 2"/>
    <d v="2025-11-17T00:00:00"/>
    <s v="PR2526-03275"/>
    <s v="PO2526-04540"/>
    <d v="2025-11-18T00:00:00"/>
    <n v="30"/>
    <s v="SFST81000050"/>
    <n v="9"/>
    <s v="SHC EXTREME II-30 (DLD)"/>
    <n v="3"/>
    <s v="Pack"/>
    <n v="5400"/>
    <n v="16200"/>
    <m/>
    <n v="16200"/>
    <m/>
    <m/>
    <m/>
    <n v="0"/>
    <s v="V1000778 - ECOLAB CO., LTD."/>
    <x v="1"/>
    <s v="GRN2526-0005523"/>
    <d v="2025-11-21T00:00:00"/>
    <m/>
    <n v="3"/>
    <s v="Ontime"/>
    <s v="QA"/>
    <m/>
  </r>
  <r>
    <n v="36"/>
    <s v="Expent  cost for stage 2"/>
    <d v="2025-11-17T00:00:00"/>
    <s v="PR2526-03275"/>
    <s v="PO2526-04540"/>
    <d v="2025-11-18T00:00:00"/>
    <n v="30"/>
    <s v="SFST81000050"/>
    <n v="10"/>
    <s v="RINSE DRY"/>
    <n v="3"/>
    <s v="Pack"/>
    <n v="2200"/>
    <n v="6600"/>
    <m/>
    <n v="6600"/>
    <m/>
    <m/>
    <m/>
    <n v="0"/>
    <s v="V1000778 - ECOLAB CO., LTD."/>
    <x v="1"/>
    <s v="GRN2526-0005523"/>
    <d v="2025-11-21T00:00:00"/>
    <m/>
    <n v="3"/>
    <s v="Ontime"/>
    <s v="QA"/>
    <m/>
  </r>
  <r>
    <n v="37"/>
    <s v="Expent  cost for stage 2"/>
    <d v="2025-11-17T00:00:00"/>
    <s v="PR2526-03276"/>
    <s v="PO2526-04575 "/>
    <d v="2025-11-20T00:00:00"/>
    <n v="120"/>
    <s v="SFST81000050"/>
    <n v="1"/>
    <s v="Knife-RHINO 8801: 8&quot;"/>
    <n v="64"/>
    <s v="PCS."/>
    <n v="85"/>
    <n v="5440"/>
    <m/>
    <n v="5440"/>
    <m/>
    <m/>
    <m/>
    <n v="0"/>
    <s v="V1000934 - ร้านบางกอก ไทยแลนด์ โดย นางนัทธ์หทัย วินิจวุฒิวงศ์"/>
    <x v="1"/>
    <s v="GRN2526-0005920"/>
    <d v="2025-12-12T00:00:00"/>
    <m/>
    <n v="22"/>
    <s v="Ontime"/>
    <s v="PD"/>
    <m/>
  </r>
  <r>
    <n v="38"/>
    <s v="Expent  cost for stage 2"/>
    <d v="2025-11-17T00:00:00"/>
    <s v="PR2526-03276"/>
    <s v="PO2526-04575 "/>
    <d v="2025-11-20T00:00:00"/>
    <n v="120"/>
    <s v="SFST81000050"/>
    <n v="2"/>
    <s v="Butcher knife - RHINO NO 986: 9&quot;"/>
    <n v="2"/>
    <s v="PCS."/>
    <n v="250"/>
    <n v="500"/>
    <m/>
    <n v="500"/>
    <m/>
    <m/>
    <m/>
    <n v="0"/>
    <s v="V1000934 - ร้านบางกอก ไทยแลนด์ โดย นางนัทธ์หทัย วินิจวุฒิวงศ์"/>
    <x v="1"/>
    <s v="GRN2526-0005920"/>
    <d v="2025-12-12T00:00:00"/>
    <m/>
    <n v="22"/>
    <s v="Ontime"/>
    <s v="PD"/>
    <m/>
  </r>
  <r>
    <n v="39"/>
    <s v="Expent  cost for stage 2"/>
    <d v="2025-11-17T00:00:00"/>
    <s v="PR2526-03276"/>
    <s v="PO2526-04575 "/>
    <d v="2025-11-20T00:00:00"/>
    <n v="120"/>
    <s v="SFST81000050"/>
    <n v="3"/>
    <s v="ladle Seagull"/>
    <n v="10"/>
    <s v="PCS."/>
    <n v="60"/>
    <n v="600"/>
    <m/>
    <n v="600"/>
    <m/>
    <m/>
    <m/>
    <n v="0"/>
    <s v="V1000934 - ร้านบางกอก ไทยแลนด์ โดย นางนัทธ์หทัย วินิจวุฒิวงศ์"/>
    <x v="1"/>
    <s v="GRN2526-0005920"/>
    <d v="2025-12-12T00:00:00"/>
    <m/>
    <n v="22"/>
    <s v="Ontime"/>
    <s v="PD"/>
    <m/>
  </r>
  <r>
    <n v="40"/>
    <s v="Expent  cost for stage 2"/>
    <d v="2025-11-17T00:00:00"/>
    <s v="PR2526-03276"/>
    <s v="PO2526-04575 "/>
    <d v="2025-11-20T00:00:00"/>
    <n v="120"/>
    <s v="SFST81000050"/>
    <n v="4"/>
    <s v="short spoon Zebra"/>
    <n v="10"/>
    <s v="PCS."/>
    <n v="45"/>
    <n v="450"/>
    <m/>
    <n v="450"/>
    <m/>
    <m/>
    <m/>
    <n v="0"/>
    <s v="V1000934 - ร้านบางกอก ไทยแลนด์ โดย นางนัทธ์หทัย วินิจวุฒิวงศ์"/>
    <x v="1"/>
    <s v="GRN2526-0005920"/>
    <d v="2025-12-12T00:00:00"/>
    <m/>
    <n v="22"/>
    <s v="Ontime"/>
    <s v="PD"/>
    <m/>
  </r>
  <r>
    <n v="41"/>
    <s v="Expent  cost for stage 2"/>
    <d v="2025-11-17T00:00:00"/>
    <s v="PR2526-03276"/>
    <s v="PO2526-04554 "/>
    <d v="2025-11-20T00:00:00"/>
    <n v="120"/>
    <s v="SFST81000050"/>
    <n v="5"/>
    <s v="Scissors: Singer 8&quot;"/>
    <n v="24"/>
    <s v="PCS."/>
    <n v="680"/>
    <n v="16320"/>
    <m/>
    <n v="16320"/>
    <m/>
    <m/>
    <m/>
    <n v="0"/>
    <s v="V1000877 - ร้านเกศรินทร์ โดยนางเกศรินทร์ ศิรโกวิท"/>
    <x v="1"/>
    <s v="GRN2526-0006110"/>
    <d v="2025-12-16T00:00:00"/>
    <m/>
    <n v="26"/>
    <s v="Ontime"/>
    <s v="PD"/>
    <m/>
  </r>
  <r>
    <n v="42"/>
    <s v="Expent  cost for stage 2"/>
    <d v="2025-11-17T00:00:00"/>
    <s v="PR2526-03276"/>
    <s v="PO2526-04554 "/>
    <d v="2025-11-20T00:00:00"/>
    <n v="120"/>
    <s v="SFST81000050"/>
    <m/>
    <s v="ค่าขนส่งทั่วไป"/>
    <n v="1"/>
    <s v="JOB."/>
    <n v="70"/>
    <n v="70"/>
    <m/>
    <n v="70"/>
    <m/>
    <m/>
    <m/>
    <n v="0"/>
    <s v="V1000877 - ร้านเกศรินทร์ โดยนางเกศรินทร์ ศิรโกวิท"/>
    <x v="1"/>
    <s v="GRN2526-0006110"/>
    <d v="2025-12-16T00:00:00"/>
    <m/>
    <n v="26"/>
    <s v="Ontime"/>
    <s v="PD"/>
    <m/>
  </r>
  <r>
    <n v="43"/>
    <s v="Expent  cost for stage 2"/>
    <d v="2025-11-17T00:00:00"/>
    <s v="PR2526-03276"/>
    <s v="PO2526-04555"/>
    <d v="2025-11-20T00:00:00"/>
    <n v="120"/>
    <s v="SFST81000050"/>
    <n v="6"/>
    <s v="&quot;NTS&quot; SALAD SPOON MODEL CAD1-28"/>
    <n v="10"/>
    <s v="PCS."/>
    <n v="200"/>
    <n v="2000"/>
    <m/>
    <n v="2000"/>
    <m/>
    <m/>
    <m/>
    <n v="0"/>
    <s v="V1000105 - บริษัท เซเว่นไฟว์ ดิสทริบิวเตอร์ จำกัด"/>
    <x v="1"/>
    <s v="GRN2526-0007187"/>
    <d v="2026-01-20T00:00:00"/>
    <m/>
    <n v="61"/>
    <s v="Ontime"/>
    <s v="PD"/>
    <m/>
  </r>
  <r>
    <n v="44"/>
    <s v="Expent  cost for stage 2"/>
    <d v="2025-11-17T00:00:00"/>
    <s v="PR2526-03276"/>
    <s v="PO2526-04555"/>
    <d v="2025-11-20T00:00:00"/>
    <n v="120"/>
    <s v="SFST81000050"/>
    <n v="7"/>
    <s v="Stainless steel bowl S/S Mixing bowl 5 QT #KK-MBR05"/>
    <n v="10"/>
    <s v="PCS."/>
    <n v="190"/>
    <n v="1900"/>
    <m/>
    <n v="1900"/>
    <m/>
    <m/>
    <m/>
    <n v="0"/>
    <s v="V1000105 - บริษัท เซเว่นไฟว์ ดิสทริบิวเตอร์ จำกัด"/>
    <x v="1"/>
    <s v="GRN2526-0006426"/>
    <d v="2025-12-22T00:00:00"/>
    <m/>
    <n v="32"/>
    <s v="Ontime"/>
    <s v="PD"/>
    <m/>
  </r>
  <r>
    <n v="45"/>
    <s v="Expent  cost for stage 2"/>
    <d v="2025-11-17T00:00:00"/>
    <s v="PR2526-03276"/>
    <s v="PO2526-04555"/>
    <d v="2025-11-20T00:00:00"/>
    <n v="120"/>
    <s v="SFST81000050"/>
    <n v="8"/>
    <s v="&quot;NTS&quot; 24 OZ ICE SCOOP S/S 304 MODEL ISC2-24"/>
    <n v="10"/>
    <s v="PCS."/>
    <n v="670"/>
    <n v="6700"/>
    <m/>
    <n v="6700"/>
    <m/>
    <m/>
    <m/>
    <n v="0"/>
    <s v="V1000105 - บริษัท เซเว่นไฟว์ ดิสทริบิวเตอร์ จำกัด"/>
    <x v="1"/>
    <s v="GRN2526-0007187"/>
    <d v="2026-01-20T00:00:00"/>
    <m/>
    <n v="61"/>
    <s v="Ontime"/>
    <s v="PD"/>
    <m/>
  </r>
  <r>
    <n v="46"/>
    <s v="Expent  cost for stage 2"/>
    <d v="2025-11-21T00:00:00"/>
    <s v="PR2526-03369"/>
    <s v="PO2526-04826"/>
    <d v="2025-12-03T00:00:00"/>
    <n v="120"/>
    <s v="SFST81000013"/>
    <n v="1"/>
    <s v="ค่าเช่าเครื่องปั้นลูกชิ้น รุ่น JWJ ระยะเวลา 1"/>
    <n v="1"/>
    <s v="EA."/>
    <n v="20000"/>
    <n v="20000"/>
    <m/>
    <m/>
    <m/>
    <m/>
    <m/>
    <n v="20000"/>
    <s v="V1000107 - INSPIRE MACH CO., LTD."/>
    <x v="0"/>
    <m/>
    <m/>
    <m/>
    <n v="-45994"/>
    <s v="Ontime"/>
    <s v="PD"/>
    <m/>
  </r>
  <r>
    <n v="47"/>
    <s v="Expent  cost for stage 2"/>
    <d v="2025-11-25T00:00:00"/>
    <s v="PR2526-03384 "/>
    <s v="PO2526-05072"/>
    <d v="2025-12-16T00:00:00"/>
    <n v="120"/>
    <s v="SFST81000050"/>
    <n v="1"/>
    <s v="Lovibond Chlorine testing DPD NO.1"/>
    <n v="15"/>
    <s v="BOX."/>
    <n v="1230"/>
    <n v="18450"/>
    <m/>
    <n v="18450"/>
    <m/>
    <m/>
    <m/>
    <n v="0"/>
    <s v="V1000210 - U.P. MARKETING GENERAL SUPPLY CO., LTD."/>
    <x v="1"/>
    <s v="GRN2526-0007595"/>
    <d v="2026-02-02T00:00:00"/>
    <m/>
    <n v="48"/>
    <s v="Ontime"/>
    <s v="QC"/>
    <m/>
  </r>
  <r>
    <n v="48"/>
    <s v="Expent  cost for stage 2"/>
    <d v="2025-11-25T00:00:00"/>
    <s v="PR2526-03384 "/>
    <s v="PO2526-05072"/>
    <d v="2025-12-16T00:00:00"/>
    <n v="120"/>
    <s v="SFST81000050"/>
    <n v="2"/>
    <s v="Chlorine test paper &quot;Advantec&quot;"/>
    <n v="3"/>
    <s v="PC."/>
    <n v="1120"/>
    <n v="3360"/>
    <m/>
    <n v="3360"/>
    <m/>
    <m/>
    <m/>
    <n v="0"/>
    <s v="V1000210 - U.P. MARKETING GENERAL SUPPLY CO., LTD."/>
    <x v="1"/>
    <s v="GRN2526-0007595"/>
    <d v="2026-02-02T00:00:00"/>
    <m/>
    <n v="48"/>
    <s v="Ontime"/>
    <s v="QC"/>
    <m/>
  </r>
  <r>
    <n v="49"/>
    <s v="Expent  cost for stage 2"/>
    <d v="2025-11-25T00:00:00"/>
    <s v="PR2526-03384 "/>
    <s v="PO2526-05073"/>
    <d v="2025-12-16T00:00:00"/>
    <n v="120"/>
    <s v="SFST81000050"/>
    <n v="3"/>
    <s v="HYDRION (QT-10) Quaternary Sanitizers test paper"/>
    <n v="3"/>
    <s v="PC."/>
    <n v="380"/>
    <n v="1140"/>
    <m/>
    <n v="9500"/>
    <m/>
    <m/>
    <m/>
    <n v="-8360"/>
    <s v="V1000211 - NT CHEMICAL CO.,LTD."/>
    <x v="0"/>
    <m/>
    <m/>
    <m/>
    <n v="-46007"/>
    <s v="Ontime"/>
    <s v="QC"/>
    <m/>
  </r>
  <r>
    <n v="50"/>
    <s v="Expent  cost for stage 2"/>
    <d v="2025-11-25T00:00:00"/>
    <s v="PR2526-03384 "/>
    <s v="PO2526-05072"/>
    <d v="2025-12-16T00:00:00"/>
    <n v="120"/>
    <s v="SFST81000050"/>
    <n v="4"/>
    <s v="AV-Check &quot;Advantec&quot;"/>
    <n v="5"/>
    <s v="PC."/>
    <n v="1900"/>
    <n v="9500"/>
    <m/>
    <n v="9500"/>
    <m/>
    <m/>
    <m/>
    <n v="0"/>
    <s v="V1000210 - U.P. MARKETING GENERAL SUPPLY CO., LTD."/>
    <x v="1"/>
    <s v="GRN2526-0007595"/>
    <d v="2026-02-02T00:00:00"/>
    <m/>
    <n v="48"/>
    <s v="Ontime"/>
    <s v="QC"/>
    <m/>
  </r>
  <r>
    <n v="51"/>
    <s v="CAPEX  (Budget)"/>
    <d v="2025-11-25T00:00:00"/>
    <s v="PR2526-03404"/>
    <s v="PO2526-05107"/>
    <d v="2025-12-17T00:00:00"/>
    <n v="120"/>
    <s v="SFST82000016"/>
    <n v="1"/>
    <s v="Watkie Takic license"/>
    <n v="2"/>
    <s v="EA."/>
    <n v="4350"/>
    <n v="8700"/>
    <m/>
    <n v="8700"/>
    <m/>
    <m/>
    <m/>
    <n v="0"/>
    <s v="V1000060 - TRIO MASS CO., LTD."/>
    <x v="1"/>
    <s v="GRN2526-0006971"/>
    <d v="2026-01-14T00:00:00"/>
    <m/>
    <n v="28"/>
    <s v="Ontime"/>
    <s v="QC"/>
    <m/>
  </r>
  <r>
    <n v="52"/>
    <s v="CAPEX  (Budget)"/>
    <d v="2025-11-25T00:00:00"/>
    <s v="PR2526-03404"/>
    <s v="PO2526-05108 "/>
    <d v="2025-12-17T00:00:00"/>
    <n v="120"/>
    <s v="SFST82000016"/>
    <n v="2"/>
    <s v="license"/>
    <n v="2"/>
    <s v="EA."/>
    <n v="500"/>
    <n v="1000"/>
    <m/>
    <n v="1000"/>
    <m/>
    <m/>
    <m/>
    <n v="0"/>
    <s v="V1000166 - Office Of The National Broadcasting and Telecommunications Commission"/>
    <x v="1"/>
    <s v="GRN2526-0007588"/>
    <d v="2026-02-02T00:00:00"/>
    <m/>
    <n v="47"/>
    <s v="Ontime"/>
    <s v="QA"/>
    <m/>
  </r>
  <r>
    <n v="53"/>
    <s v="CAPEX  (Budget)"/>
    <d v="2025-11-25T00:00:00"/>
    <s v="PR2526-03404"/>
    <s v="PO2526-05109"/>
    <d v="2025-12-17T00:00:00"/>
    <n v="120"/>
    <s v="SFST82000016"/>
    <n v="3"/>
    <s v="Digital Thermometer (ANRITSU HR-1100E)"/>
    <n v="3"/>
    <s v="EA."/>
    <n v="13170"/>
    <n v="39510"/>
    <m/>
    <n v="39510"/>
    <m/>
    <m/>
    <m/>
    <n v="0"/>
    <s v="V1000210 - U.P. MARKETING GENERAL SUPPLY CO., LTD."/>
    <x v="1"/>
    <s v="GRN2526-0007593"/>
    <d v="2026-02-02T00:00:00"/>
    <m/>
    <n v="47"/>
    <s v="Ontime"/>
    <s v="QA"/>
    <m/>
  </r>
  <r>
    <n v="54"/>
    <s v="CAPEX  (Budget)"/>
    <d v="2025-11-25T00:00:00"/>
    <s v="PR2526-03404"/>
    <s v="PO2526-05109"/>
    <d v="2025-12-17T00:00:00"/>
    <n v="120"/>
    <s v="SFST82000016"/>
    <n v="4"/>
    <s v="Thermocouple Probe (BS-21E-010-TC1-ASP)"/>
    <n v="3"/>
    <s v="EA."/>
    <n v="3770"/>
    <n v="11310"/>
    <m/>
    <n v="11310"/>
    <m/>
    <m/>
    <m/>
    <n v="0"/>
    <s v="V1000210 - U.P. MARKETING GENERAL SUPPLY CO., LTD."/>
    <x v="1"/>
    <s v="GRN2526-0007593"/>
    <d v="2026-02-02T00:00:00"/>
    <m/>
    <n v="47"/>
    <s v="Ontime"/>
    <s v="QA"/>
    <m/>
  </r>
  <r>
    <n v="55"/>
    <s v="CAPEX  (Budget)"/>
    <d v="2025-11-25T00:00:00"/>
    <s v="PR2526-03404"/>
    <s v="PO2526-05110"/>
    <d v="2025-12-17T00:00:00"/>
    <n v="120"/>
    <s v="SFST82000016"/>
    <n v="5"/>
    <s v="Digital Balance HT-500 &quot;AND&quot; (500g.)"/>
    <n v="2"/>
    <s v="EA."/>
    <n v="3200"/>
    <n v="6400"/>
    <m/>
    <m/>
    <m/>
    <m/>
    <m/>
    <n v="6400"/>
    <s v="V1000488 - บริษัท เทพ อินโนเวชั่น จำกัด"/>
    <x v="0"/>
    <m/>
    <m/>
    <m/>
    <n v="-46008"/>
    <s v="Ontime"/>
    <s v="QA"/>
    <m/>
  </r>
  <r>
    <n v="56"/>
    <s v="CAPEX  (Budget)"/>
    <d v="2025-11-25T00:00:00"/>
    <s v="PR2526-03404"/>
    <s v="PO2526-05111"/>
    <d v="2025-12-17T00:00:00"/>
    <n v="120"/>
    <s v="SFST82000016"/>
    <n v="6"/>
    <s v="เครื่องซีลสายพาน (Brand: Hualian, Model: FRB-770III)"/>
    <n v="1"/>
    <s v="EA."/>
    <n v="10000"/>
    <n v="10000"/>
    <m/>
    <m/>
    <m/>
    <m/>
    <m/>
    <n v="10000"/>
    <s v="V1000746 - AT PACKING COMPANY LIMITED"/>
    <x v="0"/>
    <m/>
    <m/>
    <m/>
    <n v="-46008"/>
    <s v="Ontime"/>
    <s v="QA"/>
    <m/>
  </r>
  <r>
    <n v="57"/>
    <s v="CAPEX  (Budget)"/>
    <d v="2025-11-25T00:00:00"/>
    <s v="PR2526-03404"/>
    <s v="PO2526-05366 "/>
    <d v="2025-12-24T00:00:00"/>
    <n v="120"/>
    <s v="SFST82000016"/>
    <n v="7"/>
    <s v="Magnetic Bar (ความยาว 295 mm, เส้นผ่านศูนย์กลาง 2 cm) ความแรงแม่หล็ก 10,000 Gauss"/>
    <n v="2"/>
    <s v="EA."/>
    <n v="4275"/>
    <n v="8550"/>
    <m/>
    <m/>
    <m/>
    <m/>
    <m/>
    <n v="8550"/>
    <s v="V1000974 - VIRAVAN INTERNATIONAL CO.,LTD"/>
    <x v="0"/>
    <m/>
    <m/>
    <m/>
    <n v="-46015"/>
    <s v="Ontime"/>
    <s v="QA"/>
    <m/>
  </r>
  <r>
    <n v="58"/>
    <s v="CAPEX  (Budget)"/>
    <d v="2025-11-25T00:00:00"/>
    <s v="PR2526-03404"/>
    <s v="PO2526-05212"/>
    <d v="2025-12-17T00:00:00"/>
    <n v="120"/>
    <s v="SFST82000016"/>
    <n v="8"/>
    <s v="Freezer HAIER รุ่น HCF-568DP size 18.3 คิว (519 liter)"/>
    <n v="2"/>
    <s v="EA."/>
    <n v="17586.915000000001"/>
    <n v="35173.83"/>
    <m/>
    <n v="35173.83"/>
    <m/>
    <m/>
    <m/>
    <n v="0"/>
    <s v="V1000971 - SNR COOLING AND TRADING CO.,LTD."/>
    <x v="1"/>
    <s v="GRN2526-0007596"/>
    <d v="2026-02-02T00:00:00"/>
    <m/>
    <n v="47"/>
    <s v="Ontime"/>
    <s v="QA"/>
    <m/>
  </r>
  <r>
    <n v="59"/>
    <s v="CAPEX  (Budget)"/>
    <d v="2025-11-25T00:00:00"/>
    <s v="PR2526-03404"/>
    <s v="PO2526-05112"/>
    <d v="2025-12-17T00:00:00"/>
    <n v="120"/>
    <s v="SFST82000016"/>
    <n v="9"/>
    <s v="ตู้แช่เย็นกระจก (Chill) 1 ประตู S-Cool รุ่น SM-61 (12 คิว)"/>
    <n v="2"/>
    <s v="EA."/>
    <n v="19300"/>
    <n v="38600"/>
    <m/>
    <m/>
    <m/>
    <m/>
    <m/>
    <n v="38600"/>
    <s v="V1000068 - Thanawan Cooler Co.,Ltd."/>
    <x v="0"/>
    <m/>
    <m/>
    <m/>
    <n v="-46008"/>
    <s v="Ontime"/>
    <s v="QA"/>
    <m/>
  </r>
  <r>
    <n v="60"/>
    <s v="Expent  cost for stage 2"/>
    <d v="2025-11-25T00:00:00"/>
    <s v="PR2526-03405"/>
    <s v="PO2526-05367"/>
    <d v="2025-12-24T00:00:00"/>
    <n v="120"/>
    <s v="SFST81000050"/>
    <n v="1"/>
    <s v="DLD's rubber stamp (Small one), self-inking (Size: 3 cm 2 cm)"/>
    <n v="2"/>
    <s v="PCS."/>
    <n v="345"/>
    <n v="690"/>
    <m/>
    <n v="690"/>
    <m/>
    <m/>
    <m/>
    <n v="0"/>
    <s v="V1000713 - MEESOOKPONGTHAI LIMITED PARTNERSHIP"/>
    <x v="1"/>
    <s v="GRN2526-0007592"/>
    <d v="2026-02-02T00:00:00"/>
    <m/>
    <n v="40"/>
    <s v="Ontime"/>
    <s v="QA"/>
    <m/>
  </r>
  <r>
    <n v="61"/>
    <s v="Expent  cost for stage 2"/>
    <d v="2025-11-25T00:00:00"/>
    <s v="PR2526-03405"/>
    <s v="PO2526-05367"/>
    <d v="2025-12-24T00:00:00"/>
    <n v="120"/>
    <s v="SFST81000050"/>
    <n v="2"/>
    <s v="DLD's rubber stamp (Big one) (Size: 6.5 cm * 4.5 cm)"/>
    <n v="2"/>
    <s v="PCS."/>
    <n v="540"/>
    <n v="1080"/>
    <m/>
    <n v="1080"/>
    <m/>
    <m/>
    <m/>
    <n v="0"/>
    <s v="V1000713 - MEESOOKPONGTHAI LIMITED PARTNERSHIP"/>
    <x v="1"/>
    <s v="GRN2526-0007592"/>
    <d v="2026-02-02T00:00:00"/>
    <m/>
    <n v="40"/>
    <s v="Ontime"/>
    <s v="QA"/>
    <m/>
  </r>
  <r>
    <n v="62"/>
    <s v="Expent  cost for stage 2"/>
    <d v="2025-11-25T00:00:00"/>
    <s v="PR2526-03405"/>
    <s v="PO2526-05213"/>
    <d v="2025-12-17T00:00:00"/>
    <n v="120"/>
    <s v="SFST81000050"/>
    <n v="3"/>
    <s v="เครื่องซีลแบบมือกด (Brand: Brother, Model: PCS500A)"/>
    <n v="1"/>
    <s v="PCS."/>
    <n v="1800"/>
    <n v="1800"/>
    <m/>
    <m/>
    <m/>
    <m/>
    <m/>
    <n v="1800"/>
    <s v="V1000746 - AT PACKING COMPANY LIMITED"/>
    <x v="0"/>
    <m/>
    <m/>
    <m/>
    <n v="-46008"/>
    <s v="Ontime"/>
    <s v="QA"/>
    <m/>
  </r>
  <r>
    <n v="63"/>
    <s v="Expent  cost for stage 2"/>
    <d v="2025-11-25T00:00:00"/>
    <s v="PR2526-03405"/>
    <s v="PO2526-05621"/>
    <d v="2026-01-08T00:00:00"/>
    <n v="120"/>
    <s v="SFST81000050"/>
    <n v="4"/>
    <s v="Electric Kettle (Brand: Imarflex, Model: IF-285)"/>
    <n v="1"/>
    <s v="PCS."/>
    <n v="475"/>
    <n v="475"/>
    <m/>
    <m/>
    <m/>
    <m/>
    <m/>
    <n v="475"/>
    <s v="V1000980 - Siamworachak Electric Co.,Ltd."/>
    <x v="0"/>
    <m/>
    <m/>
    <m/>
    <n v="-46030"/>
    <s v="Ontime"/>
    <s v="QA"/>
    <m/>
  </r>
  <r>
    <n v="64"/>
    <s v="Expent  cost for stage 2"/>
    <d v="2025-11-25T00:00:00"/>
    <s v="PR2526-03405"/>
    <s v="PO2526-05621"/>
    <d v="2026-01-08T00:00:00"/>
    <n v="120"/>
    <s v="SFST81000050"/>
    <n v="5"/>
    <s v="Microwave Samsung, Model: MS23K3555EW, ขนาด 23 ลิตร"/>
    <n v="1"/>
    <s v="PCS."/>
    <n v="2607"/>
    <n v="2607"/>
    <m/>
    <m/>
    <m/>
    <m/>
    <m/>
    <n v="2607"/>
    <s v="V1000980 - Siamworachak Electric Co.,Ltd."/>
    <x v="0"/>
    <m/>
    <m/>
    <m/>
    <n v="-46030"/>
    <s v="Ontime"/>
    <s v="QA"/>
    <m/>
  </r>
  <r>
    <n v="65"/>
    <s v="Expent  cost for stage 2"/>
    <d v="2025-11-25T00:00:00"/>
    <s v="PR2526-03405"/>
    <s v="PO2526-05214"/>
    <d v="2025-12-17T00:00:00"/>
    <n v="120"/>
    <s v="SFST81000050"/>
    <n v="6"/>
    <s v="LogTag (UTRIX-16 Temperature Recorder)"/>
    <n v="100"/>
    <s v="PCS."/>
    <n v="1225"/>
    <n v="122500"/>
    <m/>
    <n v="60025"/>
    <m/>
    <m/>
    <m/>
    <n v="62475"/>
    <s v="V1000106 - DIXELL (ASIA) COMPANY LIMITED"/>
    <x v="1"/>
    <s v="GRN2526-0006692"/>
    <d v="2026-01-06T00:00:00"/>
    <m/>
    <n v="20"/>
    <s v="Ontime"/>
    <s v="QA"/>
    <m/>
  </r>
  <r>
    <n v="66"/>
    <s v="CAPEX  (Budget)"/>
    <d v="2025-11-25T00:00:00"/>
    <s v="PR2526-03411"/>
    <s v="PO2526-05027"/>
    <d v="2025-12-16T00:00:00"/>
    <n v="120"/>
    <s v="SFST82000016"/>
    <n v="1"/>
    <s v="Fluke 62 MAX+ Infrared Thermometer"/>
    <n v="6"/>
    <s v="EA."/>
    <n v="5450"/>
    <n v="32700"/>
    <m/>
    <n v="32700"/>
    <m/>
    <m/>
    <m/>
    <n v="0"/>
    <s v="V1000211 - NT CHEMICAL CO.,LTD."/>
    <x v="1"/>
    <s v="GRN2526-0006687"/>
    <d v="2026-01-06T00:00:00"/>
    <m/>
    <n v="21"/>
    <s v="Ontime"/>
    <s v="QC"/>
    <m/>
  </r>
  <r>
    <n v="67"/>
    <s v="CAPEX  (Budget)"/>
    <d v="2025-11-25T00:00:00"/>
    <s v="PR2526-03411"/>
    <s v="PO2526-05027"/>
    <d v="2025-12-16T00:00:00"/>
    <n v="120"/>
    <s v="SFST82000016"/>
    <n v="2"/>
    <s v="Eutech pH Tester 30"/>
    <n v="2"/>
    <s v="EA."/>
    <n v="6600"/>
    <n v="13200"/>
    <m/>
    <n v="13200"/>
    <m/>
    <m/>
    <m/>
    <n v="0"/>
    <s v="V1000211 - NT CHEMICAL CO.,LTD."/>
    <x v="1"/>
    <s v="GRN2526-0006687"/>
    <d v="2026-01-06T00:00:00"/>
    <m/>
    <n v="21"/>
    <s v="Ontime"/>
    <s v="QC"/>
    <m/>
  </r>
  <r>
    <n v="68"/>
    <s v="CAPEX  (Budget)"/>
    <d v="2025-11-25T00:00:00"/>
    <s v="PR2526-03411"/>
    <s v="PO2526-05028"/>
    <d v="2025-12-16T00:00:00"/>
    <n v="120"/>
    <s v="SFST82000016"/>
    <n v="3"/>
    <s v="Consistometer sample 75 ml. #24925-000 (Bostwick)"/>
    <n v="4"/>
    <s v="EA."/>
    <n v="30000"/>
    <n v="120000"/>
    <m/>
    <n v="120000"/>
    <m/>
    <m/>
    <m/>
    <n v="0"/>
    <s v="V1000459 - SOPON LAB CENTER CO.,LTD."/>
    <x v="1"/>
    <s v="GRN2526-0007102"/>
    <d v="2026-01-17T00:00:00"/>
    <m/>
    <n v="32"/>
    <s v="Ontime"/>
    <s v="QC"/>
    <m/>
  </r>
  <r>
    <n v="69"/>
    <s v="CAPEX  (Budget)"/>
    <d v="2025-11-25T00:00:00"/>
    <s v="PR2526-03411"/>
    <s v="PO2526-05029"/>
    <d v="2025-12-17T00:00:00"/>
    <n v="120"/>
    <s v="SFST82000016"/>
    <n v="4"/>
    <s v="Refractometer Brix 0-53 Model: Master 53M &quot;Atago&quot;"/>
    <n v="1"/>
    <s v="EA."/>
    <n v="4950"/>
    <n v="4950"/>
    <m/>
    <n v="4950"/>
    <m/>
    <m/>
    <m/>
    <n v="0"/>
    <s v="V1000210 - U.P. MARKETING GENERAL SUPPLY CO., LTD."/>
    <x v="1"/>
    <s v="GRN2526-0007594"/>
    <d v="2026-02-02T00:00:00"/>
    <m/>
    <n v="47"/>
    <s v="Ontime"/>
    <s v="QC"/>
    <m/>
  </r>
  <r>
    <n v="70"/>
    <s v="CAPEX  (Budget)"/>
    <d v="2025-11-25T00:00:00"/>
    <s v="PR2526-03411"/>
    <s v="PO2526-05029"/>
    <d v="2025-12-17T00:00:00"/>
    <n v="120"/>
    <s v="SFST82000016"/>
    <n v="5"/>
    <s v="Refractometer Salt 0-28 Model: Master S28 &quot;Atago&quot;"/>
    <n v="1"/>
    <s v="EA."/>
    <n v="7250"/>
    <n v="7250"/>
    <m/>
    <n v="7250"/>
    <m/>
    <m/>
    <m/>
    <n v="0"/>
    <s v="V1000210 - U.P. MARKETING GENERAL SUPPLY CO., LTD."/>
    <x v="1"/>
    <s v="GRN2526-0007594"/>
    <d v="2026-02-02T00:00:00"/>
    <m/>
    <n v="47"/>
    <s v="Ontime"/>
    <s v="QC"/>
    <m/>
  </r>
  <r>
    <n v="71"/>
    <s v="CAPEX  (Budget)"/>
    <d v="2025-11-25T00:00:00"/>
    <s v="PR2526-03411"/>
    <s v="PO2526-05029"/>
    <d v="2025-12-17T00:00:00"/>
    <n v="120"/>
    <s v="SFST82000016"/>
    <n v="6"/>
    <s v="Brix-Salt digital Meter PAL-BX SALT+5 Ansitsu"/>
    <n v="5"/>
    <s v="EA."/>
    <n v="18900"/>
    <n v="94500"/>
    <m/>
    <n v="94500"/>
    <m/>
    <m/>
    <m/>
    <n v="0"/>
    <s v="V1000210 - U.P. MARKETING GENERAL SUPPLY CO., LTD."/>
    <x v="1"/>
    <s v="GRN2526-0007594"/>
    <d v="2026-02-02T00:00:00"/>
    <m/>
    <n v="47"/>
    <s v="Ontime"/>
    <s v="QC"/>
    <m/>
  </r>
  <r>
    <n v="72"/>
    <s v="CAPEX  (Budget)"/>
    <d v="2025-11-25T00:00:00"/>
    <s v="PR2526-03411"/>
    <s v="PO2526-05029"/>
    <d v="2025-12-17T00:00:00"/>
    <n v="120"/>
    <s v="SFST82000016"/>
    <n v="7"/>
    <s v="Lovibond Chlorine meter Model: MD 200"/>
    <n v="2"/>
    <s v="EA."/>
    <n v="19700"/>
    <n v="39400"/>
    <m/>
    <n v="39400"/>
    <m/>
    <m/>
    <m/>
    <n v="0"/>
    <s v="V1000210 - U.P. MARKETING GENERAL SUPPLY CO., LTD."/>
    <x v="1"/>
    <s v="GRN2526-0007594"/>
    <d v="2026-02-02T00:00:00"/>
    <m/>
    <n v="47"/>
    <s v="Ontime"/>
    <s v="QC"/>
    <m/>
  </r>
  <r>
    <n v="73"/>
    <s v="CAPEX  (Budget)"/>
    <d v="2025-11-25T00:00:00"/>
    <s v="PR2526-03411"/>
    <s v="PO2526-05029"/>
    <d v="2025-12-17T00:00:00"/>
    <n v="120"/>
    <s v="SFST82000016"/>
    <n v="8"/>
    <s v="Digital Vernier Caliper Stainless Steel Range 150mm/0-6 Inch"/>
    <n v="4"/>
    <s v="EA."/>
    <n v="3550"/>
    <n v="14200"/>
    <m/>
    <n v="14200"/>
    <m/>
    <m/>
    <m/>
    <n v="0"/>
    <s v="V1000210 - U.P. MARKETING GENERAL SUPPLY CO., LTD."/>
    <x v="1"/>
    <s v="GRN2526-0007594"/>
    <d v="2026-02-02T00:00:00"/>
    <m/>
    <n v="47"/>
    <s v="Ontime"/>
    <s v="QC"/>
    <m/>
  </r>
  <r>
    <n v="74"/>
    <s v="CAPEX  (Budget)"/>
    <d v="2025-11-25T00:00:00"/>
    <s v="PR2526-03411"/>
    <s v="PO2526-05029"/>
    <d v="2025-12-17T00:00:00"/>
    <n v="120"/>
    <s v="SFST82000016"/>
    <n v="9"/>
    <s v="Probe (Thermometer) Anritsu รุ่น BS-21E-010-TC1-ASP"/>
    <n v="10"/>
    <s v="EA."/>
    <n v="3770"/>
    <n v="37700"/>
    <m/>
    <n v="37700"/>
    <m/>
    <m/>
    <m/>
    <n v="0"/>
    <s v="V1000210 - U.P. MARKETING GENERAL SUPPLY CO., LTD."/>
    <x v="1"/>
    <s v="GRN2526-0007594"/>
    <d v="2026-02-02T00:00:00"/>
    <m/>
    <n v="47"/>
    <s v="Ontime"/>
    <s v="QC"/>
    <m/>
  </r>
  <r>
    <n v="75"/>
    <s v="CAPEX  (Budget)"/>
    <d v="2025-11-25T00:00:00"/>
    <s v="PR2526-03411"/>
    <s v="PO2526-05029"/>
    <d v="2025-12-17T00:00:00"/>
    <n v="120"/>
    <s v="SFST82000016"/>
    <n v="10"/>
    <s v="Anritsu Digital Thermometer Model: HR-1100E (E:-200~800oC)"/>
    <n v="15"/>
    <s v="EA."/>
    <n v="13170"/>
    <n v="197550"/>
    <m/>
    <n v="197550"/>
    <m/>
    <m/>
    <m/>
    <n v="0"/>
    <s v="V1000210 - U.P. MARKETING GENERAL SUPPLY CO., LTD."/>
    <x v="1"/>
    <s v="GRN2526-0007594"/>
    <d v="2026-02-02T00:00:00"/>
    <m/>
    <n v="47"/>
    <s v="Ontime"/>
    <s v="QC"/>
    <m/>
  </r>
  <r>
    <n v="76"/>
    <s v="CAPEX  (Budget)"/>
    <d v="2025-11-25T00:00:00"/>
    <s v="PR2526-03411"/>
    <s v="PO2526-05031"/>
    <d v="2025-12-16T00:00:00"/>
    <n v="120"/>
    <s v="SFST82000016"/>
    <n v="11"/>
    <s v="Pantone Formula Guide Solid Coated &amp; Solid Uncoated GP1601B"/>
    <n v="2"/>
    <s v="EA."/>
    <n v="10100"/>
    <n v="20200"/>
    <m/>
    <n v="20200"/>
    <m/>
    <m/>
    <m/>
    <n v="0"/>
    <s v="V1000661 - SRIVARA STATIONARY CO., LTD."/>
    <x v="1"/>
    <s v="GRN2526-0007598"/>
    <d v="2026-02-02T00:00:00"/>
    <m/>
    <n v="48"/>
    <s v="Ontime"/>
    <s v="QC"/>
    <m/>
  </r>
  <r>
    <n v="77"/>
    <s v="CAPEX  (Budget)"/>
    <d v="2025-11-25T00:00:00"/>
    <s v="PR2526-03411"/>
    <s v="PO2526-05032"/>
    <d v="2025-12-17T00:00:00"/>
    <n v="120"/>
    <s v="SFST82000016"/>
    <n v="12"/>
    <s v="Digital Balance &quot;AND&quot; HT-500 (500g.)_x000a_-รับประกันเครื่องชั่ง 1 ปี แบตเตอรี่ 6 เดือน_x000a_-แถมใบสอบเทียบเครื่องชั่ง (Calibration Report)"/>
    <n v="6"/>
    <s v="EA."/>
    <n v="3200"/>
    <n v="19200"/>
    <m/>
    <m/>
    <m/>
    <m/>
    <m/>
    <n v="19200"/>
    <s v="V1000488 - บริษัท เทพ อินโนเวชั่น จำกัด"/>
    <x v="0"/>
    <m/>
    <m/>
    <m/>
    <n v="-46008"/>
    <s v="Ontime"/>
    <s v="QC"/>
    <m/>
  </r>
  <r>
    <n v="78"/>
    <s v="CAPEX  (Budget)"/>
    <d v="2025-11-25T00:00:00"/>
    <s v="PR2526-03411"/>
    <s v="PO2526-05034"/>
    <d v="2025-12-16T00:00:00"/>
    <n v="120"/>
    <s v="SFST82000016"/>
    <n v="13"/>
    <s v="เครื่องชั่ง SEIDO Model: DW-II-6K_x000a_-ขนาดพิกัด 6000 กรัม ค่าละเอียด 1 กรัม_x000a_-รับประกัน 1 ปี พร้อมอะไหล่_x000a_-พร้อมใบสอบเทียบ"/>
    <n v="4"/>
    <s v="EA."/>
    <n v="4500"/>
    <n v="18000"/>
    <m/>
    <n v="18000"/>
    <m/>
    <m/>
    <m/>
    <n v="0"/>
    <s v="V1000072 - SUPER SCALES SOLUTION CO., LTD."/>
    <x v="1"/>
    <s v="GRN2526-0006771"/>
    <d v="2026-01-08T00:00:00"/>
    <m/>
    <n v="23"/>
    <s v="Ontime"/>
    <s v="QC"/>
    <m/>
  </r>
  <r>
    <n v="79"/>
    <s v="CAPEX  (Budget)"/>
    <d v="2025-11-25T00:00:00"/>
    <s v="PR2526-03411"/>
    <s v="PO2526-05035"/>
    <d v="2025-12-16T00:00:00"/>
    <n v="120"/>
    <s v="SFST82000016"/>
    <n v="14"/>
    <s v="Digital Balance &quot;AZANO&quot; Model: NSW-4252-150K_x000a_-ขนาดพิกัด 150 kg. ค่าละเอียด 0.02 kg._x000a_-รับประกัน 1 ปี พร้อมอะไหล่_x000a_-แถมฟรีใบ Certificate ISO/IE17025"/>
    <n v="3"/>
    <s v="EA."/>
    <n v="25350"/>
    <n v="76050"/>
    <m/>
    <n v="76050"/>
    <m/>
    <m/>
    <m/>
    <n v="0"/>
    <s v="V1000288 - Siam Scale &amp; Engineering Co.,ltd."/>
    <x v="1"/>
    <s v="GRN2526-0007103"/>
    <d v="2026-01-17T00:00:00"/>
    <m/>
    <n v="32"/>
    <s v="Ontime"/>
    <s v="QC"/>
    <m/>
  </r>
  <r>
    <n v="80"/>
    <s v="CAPEX  (Budget)"/>
    <d v="2025-11-25T00:00:00"/>
    <s v="PR2526-03411"/>
    <s v="PO2526-05036"/>
    <d v="2025-12-16T00:00:00"/>
    <n v="120"/>
    <s v="SFST82000016"/>
    <n v="15"/>
    <s v="Walkie Talkie ICOM-86FX"/>
    <n v="4"/>
    <s v="EA."/>
    <n v="4350"/>
    <n v="17400"/>
    <m/>
    <n v="17400"/>
    <m/>
    <m/>
    <m/>
    <n v="0"/>
    <s v="V1000060 - TRIO MASS CO., LTD."/>
    <x v="1"/>
    <s v="GRN2526-0007104"/>
    <d v="2026-01-17T00:00:00"/>
    <m/>
    <n v="32"/>
    <s v="Ontime"/>
    <s v="QC"/>
    <m/>
  </r>
  <r>
    <n v="81"/>
    <s v="CAPEX  (Budget)"/>
    <d v="2025-11-25T00:00:00"/>
    <s v="PR2526-03411"/>
    <s v="PO2526-05037"/>
    <d v="2025-12-16T00:00:00"/>
    <n v="120"/>
    <s v="SFST82000016"/>
    <n v="16"/>
    <s v="License for Walkie Talkie ICOM-86 FX"/>
    <n v="4"/>
    <s v="EA."/>
    <n v="500"/>
    <n v="2000"/>
    <m/>
    <n v="2000"/>
    <m/>
    <m/>
    <m/>
    <n v="0"/>
    <s v="V1000166 - Office Of The National Broadcasting and Telecommunications Commission"/>
    <x v="1"/>
    <s v="GRN2526-0007105"/>
    <d v="2026-01-17T00:00:00"/>
    <m/>
    <n v="32"/>
    <s v="Ontime"/>
    <s v="QC"/>
    <m/>
  </r>
  <r>
    <n v="82"/>
    <s v="CAPEX  (Budget)"/>
    <d v="2025-11-25T00:00:00"/>
    <s v="PR2526-03411"/>
    <s v="PO2526-05162"/>
    <d v="2025-12-16T00:00:00"/>
    <n v="120"/>
    <s v="SFST82000016"/>
    <n v="17"/>
    <s v="Freezer HAIER รุ่น HCF-568DP size 18.3 คิว (519 liter)_x000a_-รับประกันความเย็น 3 ปี_x000a_-รับประกันคอมเพรสเซอร์ 10 ปี"/>
    <n v="1"/>
    <s v="EA."/>
    <n v="17586.91"/>
    <n v="17586.91"/>
    <m/>
    <n v="17586.91"/>
    <m/>
    <m/>
    <m/>
    <n v="0"/>
    <s v="V1000971 - SNR COOLING AND TRADING CO.,LTD."/>
    <x v="1"/>
    <s v="GRN2526-0007597"/>
    <d v="2026-02-02T00:00:00"/>
    <m/>
    <n v="48"/>
    <s v="Ontime"/>
    <s v="QC"/>
    <m/>
  </r>
  <r>
    <n v="83"/>
    <s v="CAPEX  (Budget)"/>
    <d v="2025-11-25T00:00:00"/>
    <s v="PR2526-03411"/>
    <s v="PO2526-05038 "/>
    <d v="2025-12-16T00:00:00"/>
    <n v="120"/>
    <s v="SFST82000016"/>
    <n v="18"/>
    <s v="โต๊ะสแตนเลสมีล้อ ขนาด 510x760x980 mm._x000a_-รับประกัน 1 ปี_x000a_-มีใบ Certificate"/>
    <n v="20"/>
    <s v="EA."/>
    <n v="11000"/>
    <n v="220000"/>
    <m/>
    <n v="220000"/>
    <m/>
    <m/>
    <m/>
    <n v="0"/>
    <s v="V1000287 - SIAM STAINLESS &amp; FURNITURE CO., LTD."/>
    <x v="1"/>
    <s v="GRN2526-0007144"/>
    <d v="2026-01-19T00:00:00"/>
    <m/>
    <n v="34"/>
    <s v="Ontime"/>
    <s v="QC"/>
    <m/>
  </r>
  <r>
    <n v="84"/>
    <s v="CAPEX  (Budget)"/>
    <d v="2025-11-25T00:00:00"/>
    <s v="PR2526-03412"/>
    <s v="PO2526-04723"/>
    <d v="2025-12-01T00:00:00"/>
    <n v="120"/>
    <s v="SFST82000016"/>
    <n v="1"/>
    <s v="UTILITY SUPPLY CONNECTION_x000a_- 3 SETS OF WATER CONNECTION TO FREEZER_x000a_- 3 SETS OF WATER CONNECTION TO SEMI CIP UNIT_x000a_- 3 SETS OF AIR CONNECTION TO SEMI CIP UNIT_x000a_- 6 SETS OF AIR CONNECTION_x000a_TO INFEED/OUTFEED CONVEYOR SYSTEMS_x000a_- ELECTRICAL CONNECTION_x000a_AT MAYEKAWA CONTROL PANELS (3 SPIRAL FREEZER CONTROL PANELS, 1 REFRIGERATION SYSTEM CONTROL PANELS, 6 CONVEYOR SYSTEMS CONTROL PANELS)"/>
    <n v="1"/>
    <s v="JOB."/>
    <n v="182500"/>
    <n v="182500"/>
    <m/>
    <m/>
    <m/>
    <m/>
    <m/>
    <n v="182500"/>
    <s v="V1000887 - MAYEKAWA (THAILAND) COMPANY LIMITED"/>
    <x v="0"/>
    <m/>
    <m/>
    <m/>
    <n v="-45992"/>
    <s v="Ontime"/>
    <s v="PD"/>
    <m/>
  </r>
  <r>
    <n v="85"/>
    <s v="CAPEX  (Budget)"/>
    <d v="2025-11-25T00:00:00"/>
    <s v="PR2526-03412"/>
    <s v="PO2526-04723"/>
    <d v="2025-12-01T00:00:00"/>
    <n v="120"/>
    <s v="SFST82000016"/>
    <n v="2"/>
    <s v="INFEED CV_x000a_- LEAVE WIRE FROM 3 INFEED CV CONTROL PANEL_x000a_INTO 5 LINES, CABLE WIRING 10M LONG PER LINE"/>
    <n v="1"/>
    <s v="JOB."/>
    <n v="137500"/>
    <n v="137500"/>
    <m/>
    <m/>
    <m/>
    <m/>
    <m/>
    <n v="137500"/>
    <s v="V1000887 - MAYEKAWA (THAILAND) COMPANY LIMITED"/>
    <x v="0"/>
    <m/>
    <m/>
    <m/>
    <n v="-45992"/>
    <s v="Ontime"/>
    <s v="PD"/>
    <m/>
  </r>
  <r>
    <n v="86"/>
    <s v="CAPEX  (Budget)"/>
    <d v="2025-11-25T00:00:00"/>
    <s v="PR2526-03412"/>
    <s v="PO2526-04723"/>
    <d v="2025-12-01T00:00:00"/>
    <n v="120"/>
    <s v="SFST82000016"/>
    <n v="3"/>
    <s v="MAYEKAWA PAID IN ADVANCE FOR FUEL &amp; WATER SUPPLY TO SITE WORK_x000a__x000a_EACH INVOICE DETAILS AND SUMMARIZE ARE AS ADDITIONAL DETAILS IN THIS QUOTATION"/>
    <n v="1"/>
    <s v="JOB."/>
    <n v="64850.6"/>
    <n v="64850.6"/>
    <m/>
    <m/>
    <m/>
    <m/>
    <m/>
    <n v="64850.6"/>
    <s v="V1000887 - MAYEKAWA (THAILAND) COMPANY LIMITED"/>
    <x v="0"/>
    <m/>
    <m/>
    <m/>
    <n v="-45992"/>
    <s v="Ontime"/>
    <s v="PD"/>
    <m/>
  </r>
  <r>
    <n v="87"/>
    <s v="CAPEX  (Budget)"/>
    <d v="2025-11-25T00:00:00"/>
    <s v="PR2526-03414"/>
    <s v="PO2526-04702"/>
    <d v="2025-11-27T00:00:00"/>
    <n v="120"/>
    <s v="SFST82000016"/>
    <n v="1"/>
    <s v="Sunford เครื่องชั่ง WSS30KS _x000a_(จอ LED): WSS30KSLED _x000a_ตั้งค่า 3kg/0.2g จำนวน 228 เครื่อง_x000a_ฟรี ISO17025 Certificate of Calibration_x000a_- Sunford เครื่องชั่ง WSS30KS _x000a_(จอ LED): WSS30KSLED _x000a_ตั้งค่า 10kg/1g จำนวน 20 เครื่อง_x000a_ฟรี ISO17025 Certificate of Calibration"/>
    <n v="248"/>
    <s v="PCS."/>
    <n v="4520.0960080645164"/>
    <n v="1120983.81"/>
    <m/>
    <n v="1120983.81"/>
    <m/>
    <m/>
    <m/>
    <n v="0"/>
    <s v="V1000952 - THAI GLOBAL BUSINESS DEVELOPMENT CO.,LTD."/>
    <x v="1"/>
    <s v="GRN2526-0006773"/>
    <d v="2026-01-08T00:00:00"/>
    <m/>
    <n v="42"/>
    <s v="Ontime"/>
    <s v="PD"/>
    <m/>
  </r>
  <r>
    <n v="88"/>
    <s v="CAPEX  (Budget)"/>
    <d v="2025-11-25T00:00:00"/>
    <s v="PR2526-03415"/>
    <s v="PO2526-04703"/>
    <d v="2025-12-01T00:00:00"/>
    <n v="120"/>
    <s v="SFST82000016"/>
    <n v="1"/>
    <s v="Sunford ชิ้นส่วน-Platform TSS 5060 _x000a_ติดตั้งหัวอ่าน WP31E IP67_x000a_ตังค่าพิกัด 300/10kg พร้อมBT_x000a_ฟรี ISO17025 Certificate of Calibration"/>
    <n v="29"/>
    <s v="PCS."/>
    <n v="18985.981724137931"/>
    <n v="550593.47"/>
    <m/>
    <n v="550593.47"/>
    <m/>
    <m/>
    <m/>
    <n v="0"/>
    <s v="V1000952 - THAI GLOBAL BUSINESS DEVELOPMENT CO.,LTD."/>
    <x v="1"/>
    <s v="GRN2526-0006772"/>
    <d v="2026-01-08T00:00:00"/>
    <m/>
    <n v="38"/>
    <s v="Ontime"/>
    <s v="PD"/>
    <m/>
  </r>
  <r>
    <n v="89"/>
    <s v="Expent  cost for stage 2"/>
    <d v="2025-12-05T00:00:00"/>
    <s v="PR2526-03625"/>
    <s v="PO2526-05339"/>
    <d v="2025-12-22T00:00:00"/>
    <n v="120"/>
    <s v="SFST81000050"/>
    <n v="1"/>
    <s v="Pallet: EHL 1012 HY Gray_x000a_USAGE: SINGLE-FACE, 4 WAYS ENTRY_x000a_Size: 1000x1200x160 mm._x000a_Loading 6,000 kgs. Static Load_x000a_- 1,500 kgs. Dynamic Load._x000a_- 1,000 kgs. Racking Load"/>
    <n v="715"/>
    <s v="PCS."/>
    <n v="1350"/>
    <n v="965250"/>
    <m/>
    <n v="965250"/>
    <m/>
    <m/>
    <m/>
    <n v="0"/>
    <s v="V1000973 - Winner Inter Plas Co.,Ltd."/>
    <x v="1"/>
    <s v="GRN2526-0007106"/>
    <d v="2025-01-17T00:00:00"/>
    <m/>
    <n v="-339"/>
    <s v="Ontime"/>
    <s v="PD"/>
    <m/>
  </r>
  <r>
    <n v="90"/>
    <s v="Expent  cost for stage 2"/>
    <d v="2025-12-05T00:00:00"/>
    <s v="PR2526-03626"/>
    <s v="PO2526-05018"/>
    <d v="2025-12-16T00:00:00"/>
    <n v="30"/>
    <s v="SFST81000050"/>
    <n v="1"/>
    <s v="ลังพลาสติกโปร่ง No.1028 สีเหลือง"/>
    <n v="120"/>
    <s v="PCS."/>
    <n v="185"/>
    <n v="22200"/>
    <m/>
    <n v="22200"/>
    <m/>
    <m/>
    <m/>
    <n v="0"/>
    <s v="V1000058 - Srisahakij Supply Co., Ltd."/>
    <x v="1"/>
    <s v="GRN2526-0006171"/>
    <d v="2025-12-17T00:00:00"/>
    <m/>
    <n v="1"/>
    <s v="Ontime"/>
    <s v="PD"/>
    <m/>
  </r>
  <r>
    <n v="91"/>
    <s v="Expent  cost for stage 2"/>
    <d v="2025-12-05T00:00:00"/>
    <s v="PR2526-03626"/>
    <s v="PO2526-05018"/>
    <d v="2025-12-16T00:00:00"/>
    <n v="30"/>
    <s v="SFST81000050"/>
    <n v="2"/>
    <s v="ลังพลาสติกโปร่ง No.1028 สีน้ำเงิน"/>
    <n v="90"/>
    <s v="PCS."/>
    <n v="185"/>
    <n v="16650"/>
    <m/>
    <n v="16650"/>
    <m/>
    <m/>
    <m/>
    <n v="0"/>
    <s v="V1000058 - Srisahakij Supply Co., Ltd."/>
    <x v="1"/>
    <s v="GRN2526-0006171"/>
    <d v="2025-12-17T00:00:00"/>
    <m/>
    <n v="1"/>
    <s v="Ontime"/>
    <s v="PD"/>
    <m/>
  </r>
  <r>
    <n v="92"/>
    <s v="Expent  cost for stage 2"/>
    <d v="2025-12-05T00:00:00"/>
    <s v="PR2526-03635"/>
    <s v="PO2526-05158"/>
    <d v="2025-12-17T00:00:00"/>
    <n v="30"/>
    <s v="SFST81000081"/>
    <n v="1"/>
    <s v="กำจัดสินค้าเสื่อมสภาพ"/>
    <n v="1"/>
    <s v="JOB."/>
    <n v="23000"/>
    <n v="23000"/>
    <m/>
    <n v="23000"/>
    <m/>
    <m/>
    <m/>
    <n v="0"/>
    <s v="V1000968 - G.T. GENERAL PROJECT CO., LTD."/>
    <x v="1"/>
    <s v="GRN2526-0006203"/>
    <d v="2025-12-18T00:00:00"/>
    <m/>
    <n v="1"/>
    <s v="Ontime"/>
    <s v="PD"/>
    <m/>
  </r>
  <r>
    <n v="93"/>
    <s v="Expent  cost for stage 2"/>
    <d v="2025-12-11T00:00:00"/>
    <s v="PR2526-03681"/>
    <s v="PO2526-05002"/>
    <d v="2025-12-12T00:00:00"/>
    <n v="30"/>
    <s v="SFST81000050"/>
    <n v="1"/>
    <s v="Chopping board Food-grade plastic 22 x 30 TK. 2 CM_x000a_- Cer. Food grade"/>
    <n v="60"/>
    <s v="PC."/>
    <n v="550"/>
    <n v="33000"/>
    <m/>
    <n v="33000"/>
    <m/>
    <m/>
    <m/>
    <n v="0"/>
    <s v="V1000059 - Kansai Inter Trade Co., Ltd."/>
    <x v="1"/>
    <m/>
    <d v="2025-12-19T00:00:00"/>
    <m/>
    <n v="7"/>
    <s v="Ontime"/>
    <s v="PD"/>
    <m/>
  </r>
  <r>
    <n v="94"/>
    <s v="Expent  cost for stage 2"/>
    <d v="2025-12-11T00:00:00"/>
    <s v="PR2526-03682"/>
    <s v="PO2526-05997"/>
    <d v="2026-01-22T00:00:00"/>
    <n v="2000"/>
    <s v="SFST81000013"/>
    <n v="1"/>
    <s v="HELI NEW BATTERY COUNTER TYPE_x000a_Modl: CPD25-A7LIH2-ZSM600"/>
    <n v="36"/>
    <s v="Month"/>
    <n v="17200"/>
    <n v="619200"/>
    <m/>
    <m/>
    <m/>
    <m/>
    <m/>
    <n v="619200"/>
    <s v="V1000175 - บริษัท พลิค คอร์ปอเรชั่น จำกัด"/>
    <x v="0"/>
    <m/>
    <m/>
    <m/>
    <n v="-46044"/>
    <s v="Ontime"/>
    <s v="MN"/>
    <m/>
  </r>
  <r>
    <n v="95"/>
    <s v="Expent  cost for stage 2"/>
    <d v="2025-12-11T00:00:00"/>
    <s v="PR2526-03682"/>
    <s v="PO2526-05334"/>
    <d v="2025-12-22T00:00:00"/>
    <n v="120"/>
    <s v="SFST81000013"/>
    <n v="2"/>
    <s v="Temporary Forklift rental 3 Month_x000a_Secondhand SUMITOMO Battery Counter Type Forklift Model 8FB25PXIII-V400_x000a_Maximum Loading 2500 Kg._x000a_Maximum Lifting Height 4000 mm._x000a_Mast Lower Height 2620 mm._x000a_Battery Lead Acid 48V,580AH Usage Limit per Month 250 Hours"/>
    <n v="3"/>
    <s v="Month"/>
    <n v="13900"/>
    <n v="41700"/>
    <m/>
    <m/>
    <m/>
    <m/>
    <m/>
    <n v="41700"/>
    <s v="V1000175 - บริษัท พลิค คอร์ปอเรชั่น จำกัด"/>
    <x v="0"/>
    <m/>
    <m/>
    <m/>
    <n v="-46013"/>
    <s v="Ontime"/>
    <s v="MN"/>
    <m/>
  </r>
  <r>
    <n v="96"/>
    <s v="Expent  cost for stage 2"/>
    <d v="2025-12-15T00:00:00"/>
    <s v="PR2526-03741"/>
    <s v="PO2526-05267"/>
    <d v="2025-12-18T00:00:00"/>
    <n v="120"/>
    <s v="SFST81000064"/>
    <n v="1"/>
    <s v="Seafood Freezer 2 (Probe)"/>
    <n v="1"/>
    <s v="JOB."/>
    <n v="600"/>
    <n v="600"/>
    <m/>
    <m/>
    <m/>
    <m/>
    <m/>
    <n v="600"/>
    <s v="V1000966 - SMART TECH CALIBRATION &amp; SERVICES CO., LTD."/>
    <x v="0"/>
    <m/>
    <m/>
    <m/>
    <n v="-46009"/>
    <s v="Ontime"/>
    <s v="QA"/>
    <m/>
  </r>
  <r>
    <n v="97"/>
    <s v="Expent  cost for stage 2"/>
    <d v="2025-12-15T00:00:00"/>
    <s v="PR2526-03741"/>
    <s v="PO2526-05267"/>
    <d v="2025-12-18T00:00:00"/>
    <n v="120"/>
    <s v="SFST81000064"/>
    <n v="2"/>
    <s v="Seafood Freezer 2 (Display)"/>
    <n v="1"/>
    <s v="JOB."/>
    <n v="600"/>
    <n v="600"/>
    <m/>
    <m/>
    <m/>
    <m/>
    <m/>
    <n v="600"/>
    <s v="V1000966 - SMART TECH CALIBRATION &amp; SERVICES CO., LTD."/>
    <x v="0"/>
    <m/>
    <m/>
    <m/>
    <n v="-46009"/>
    <s v="Ontime"/>
    <s v="QA"/>
    <m/>
  </r>
  <r>
    <n v="98"/>
    <s v="Expent  cost for stage 2"/>
    <d v="2025-12-15T00:00:00"/>
    <s v="PR2526-03741"/>
    <s v="PO2526-05267"/>
    <d v="2025-12-18T00:00:00"/>
    <n v="120"/>
    <s v="SFST81000064"/>
    <n v="3"/>
    <s v="Chicken Freezer 2 UC.2 (Probe)"/>
    <n v="1"/>
    <s v="JOB."/>
    <n v="600"/>
    <n v="600"/>
    <m/>
    <m/>
    <m/>
    <m/>
    <m/>
    <n v="600"/>
    <s v="V1000966 - SMART TECH CALIBRATION &amp; SERVICES CO., LTD."/>
    <x v="0"/>
    <m/>
    <m/>
    <m/>
    <n v="-46009"/>
    <s v="Ontime"/>
    <s v="QA"/>
    <m/>
  </r>
  <r>
    <n v="99"/>
    <s v="Expent  cost for stage 2"/>
    <d v="2025-12-15T00:00:00"/>
    <s v="PR2526-03741"/>
    <s v="PO2526-05267"/>
    <d v="2025-12-18T00:00:00"/>
    <n v="120"/>
    <s v="SFST81000064"/>
    <n v="4"/>
    <s v="Chicken Freezer 2 UC.2 (Display)"/>
    <n v="1"/>
    <s v="JOB."/>
    <n v="600"/>
    <n v="600"/>
    <m/>
    <m/>
    <m/>
    <m/>
    <m/>
    <n v="600"/>
    <s v="V1000966 - SMART TECH CALIBRATION &amp; SERVICES CO., LTD."/>
    <x v="0"/>
    <m/>
    <m/>
    <m/>
    <n v="-46009"/>
    <s v="Ontime"/>
    <s v="QA"/>
    <m/>
  </r>
  <r>
    <n v="100"/>
    <s v="Expent  cost for stage 2"/>
    <d v="2025-12-15T00:00:00"/>
    <s v="PR2526-03741"/>
    <s v="PO2526-05267"/>
    <d v="2025-12-18T00:00:00"/>
    <n v="120"/>
    <s v="SFST81000064"/>
    <n v="5"/>
    <s v="Chicken Freezer 1 UC.2 (Probe)"/>
    <n v="1"/>
    <s v="JOB."/>
    <n v="600"/>
    <n v="600"/>
    <m/>
    <m/>
    <m/>
    <m/>
    <m/>
    <n v="600"/>
    <s v="V1000966 - SMART TECH CALIBRATION &amp; SERVICES CO., LTD."/>
    <x v="0"/>
    <m/>
    <m/>
    <m/>
    <n v="-46009"/>
    <s v="Ontime"/>
    <s v="QA"/>
    <m/>
  </r>
  <r>
    <n v="101"/>
    <s v="Expent  cost for stage 2"/>
    <d v="2025-12-15T00:00:00"/>
    <s v="PR2526-03741"/>
    <s v="PO2526-05267"/>
    <d v="2025-12-18T00:00:00"/>
    <n v="120"/>
    <s v="SFST81000064"/>
    <n v="6"/>
    <s v="Chicken Freezer 1 UC.2 (Display)"/>
    <n v="1"/>
    <s v="JOB."/>
    <n v="600"/>
    <n v="600"/>
    <m/>
    <m/>
    <m/>
    <m/>
    <m/>
    <n v="600"/>
    <s v="V1000966 - SMART TECH CALIBRATION &amp; SERVICES CO., LTD."/>
    <x v="0"/>
    <m/>
    <m/>
    <m/>
    <n v="-46009"/>
    <s v="Ontime"/>
    <s v="QA"/>
    <m/>
  </r>
  <r>
    <n v="102"/>
    <s v="Expent  cost for stage 2"/>
    <d v="2025-12-15T00:00:00"/>
    <s v="PR2526-03741"/>
    <s v="PO2526-05267"/>
    <d v="2025-12-18T00:00:00"/>
    <n v="120"/>
    <s v="SFST81000064"/>
    <n v="7"/>
    <s v="Out going WH 5 (Probe)"/>
    <n v="1"/>
    <s v="JOB."/>
    <n v="600"/>
    <n v="600"/>
    <m/>
    <m/>
    <m/>
    <m/>
    <m/>
    <n v="600"/>
    <s v="V1000966 - SMART TECH CALIBRATION &amp; SERVICES CO., LTD."/>
    <x v="0"/>
    <m/>
    <m/>
    <m/>
    <n v="-46009"/>
    <s v="Ontime"/>
    <s v="QA"/>
    <m/>
  </r>
  <r>
    <n v="103"/>
    <s v="Expent  cost for stage 2"/>
    <d v="2025-12-15T00:00:00"/>
    <s v="PR2526-03741"/>
    <s v="PO2526-05267"/>
    <d v="2025-12-18T00:00:00"/>
    <n v="120"/>
    <s v="SFST81000064"/>
    <n v="8"/>
    <s v="Out going WH 5 (Display)"/>
    <n v="1"/>
    <s v="JOB."/>
    <n v="600"/>
    <n v="600"/>
    <m/>
    <m/>
    <m/>
    <m/>
    <m/>
    <n v="600"/>
    <s v="V1000966 - SMART TECH CALIBRATION &amp; SERVICES CO., LTD."/>
    <x v="0"/>
    <m/>
    <m/>
    <m/>
    <n v="-46009"/>
    <s v="Ontime"/>
    <s v="QA"/>
    <m/>
  </r>
  <r>
    <n v="104"/>
    <s v="Expent  cost for stage 2"/>
    <d v="2025-12-15T00:00:00"/>
    <s v="PR2526-03741"/>
    <s v="PO2526-05267"/>
    <d v="2025-12-18T00:00:00"/>
    <n v="120"/>
    <s v="SFST81000064"/>
    <n v="9"/>
    <s v="Out going WH 7 (Probe)"/>
    <n v="1"/>
    <s v="JOB."/>
    <n v="600"/>
    <n v="600"/>
    <m/>
    <m/>
    <m/>
    <m/>
    <m/>
    <n v="600"/>
    <s v="V1000966 - SMART TECH CALIBRATION &amp; SERVICES CO., LTD."/>
    <x v="0"/>
    <m/>
    <m/>
    <m/>
    <n v="-46009"/>
    <s v="Ontime"/>
    <s v="QA"/>
    <m/>
  </r>
  <r>
    <n v="105"/>
    <s v="Expent  cost for stage 2"/>
    <d v="2025-12-15T00:00:00"/>
    <s v="PR2526-03741"/>
    <s v="PO2526-05267"/>
    <d v="2025-12-18T00:00:00"/>
    <n v="120"/>
    <s v="SFST81000064"/>
    <n v="10"/>
    <s v="Out going WH 7 (Display)"/>
    <n v="1"/>
    <s v="JOB."/>
    <n v="600"/>
    <n v="600"/>
    <m/>
    <m/>
    <m/>
    <m/>
    <m/>
    <n v="600"/>
    <s v="V1000966 - SMART TECH CALIBRATION &amp; SERVICES CO., LTD."/>
    <x v="0"/>
    <m/>
    <m/>
    <m/>
    <n v="-46009"/>
    <s v="Ontime"/>
    <s v="QA"/>
    <m/>
  </r>
  <r>
    <n v="106"/>
    <s v="Expent  cost for stage 2"/>
    <d v="2025-12-15T00:00:00"/>
    <s v="PR2526-03741"/>
    <s v="PO2526-05267"/>
    <d v="2025-12-18T00:00:00"/>
    <n v="120"/>
    <s v="SFST81000064"/>
    <n v="11"/>
    <s v="On-Site at your Factory_x000a_(ค่าเดินทางไปสอบเทียบ วันที่ 17/12/68)"/>
    <n v="1"/>
    <s v="JOB."/>
    <n v="1500"/>
    <n v="1500"/>
    <m/>
    <m/>
    <m/>
    <m/>
    <m/>
    <n v="1500"/>
    <s v="V1000966 - SMART TECH CALIBRATION &amp; SERVICES CO., LTD."/>
    <x v="0"/>
    <m/>
    <m/>
    <m/>
    <n v="-46009"/>
    <s v="Ontime"/>
    <s v="QA"/>
    <m/>
  </r>
  <r>
    <n v="107"/>
    <s v="Expent  cost for stage 2"/>
    <d v="2025-12-15T00:00:00"/>
    <s v="PR2526-03746"/>
    <s v="PO2526-05268"/>
    <d v="2025-12-18T00:00:00"/>
    <n v="120"/>
    <s v="SFST81000050"/>
    <n v="1"/>
    <s v="Basin with holes 40 CM Brand: Seagull"/>
    <n v="12"/>
    <s v="PCS."/>
    <n v="771.96"/>
    <n v="9263.52"/>
    <m/>
    <n v="9263.52"/>
    <m/>
    <m/>
    <m/>
    <n v="0"/>
    <s v="V1000022 - THAI STAINLESS STEEL CO.,LTD."/>
    <x v="1"/>
    <s v="GRN2526-0007333"/>
    <d v="2026-01-23T00:00:00"/>
    <m/>
    <n v="36"/>
    <s v="Ontime"/>
    <s v="PD"/>
    <m/>
  </r>
  <r>
    <n v="108"/>
    <s v="Expent  cost for stage 2"/>
    <d v="2025-12-15T00:00:00"/>
    <s v="PR2526-03746"/>
    <s v="PO2526-05268"/>
    <d v="2025-12-18T00:00:00"/>
    <n v="120"/>
    <s v="SFST81000050"/>
    <n v="2"/>
    <s v="Pot and Cover pot 30 Jiter Brand: Seagull"/>
    <n v="60"/>
    <s v="PCS."/>
    <n v="2021.5"/>
    <n v="121290"/>
    <m/>
    <n v="121290"/>
    <m/>
    <m/>
    <m/>
    <n v="0"/>
    <s v="V1000022 - THAI STAINLESS STEEL CO.,LTD."/>
    <x v="1"/>
    <s v="GRN2526-0007333"/>
    <d v="2026-01-23T00:00:00"/>
    <m/>
    <n v="36"/>
    <s v="Ontime"/>
    <s v="PD"/>
    <m/>
  </r>
  <r>
    <n v="109"/>
    <s v="CAPEX  (Budget)"/>
    <d v="2025-12-15T00:00:00"/>
    <s v="PR2526-03747"/>
    <s v="PO2526-05269"/>
    <d v="2025-12-18T00:00:00"/>
    <n v="60"/>
    <s v="SFST82000016"/>
    <n v="1"/>
    <s v="Pot and Cover pot 60 liter Brand: Seagull"/>
    <n v="72"/>
    <s v="PCS."/>
    <n v="6705.61"/>
    <n v="482803.92"/>
    <m/>
    <n v="134112.20000000001"/>
    <n v="348691.72"/>
    <m/>
    <m/>
    <n v="0"/>
    <s v="V1000022 - THAI STAINLESS STEEL CO.,LTD."/>
    <x v="1"/>
    <s v="GRN2526-0006626,GRN2526-0007179"/>
    <d v="2026-01-20T00:00:00"/>
    <m/>
    <n v="33"/>
    <s v="Ontime"/>
    <s v="PD"/>
    <m/>
  </r>
  <r>
    <n v="110"/>
    <s v="Expent  cost for stage 2"/>
    <d v="2025-12-18T00:00:00"/>
    <s v="PR2526-03844"/>
    <s v="PO2526-05349"/>
    <d v="2025-12-24T00:00:00"/>
    <n v="60"/>
    <s v="SFST81000050"/>
    <n v="1"/>
    <s v="GN Pan Size 2/1 and Cover 6.5-100 Cm. 503201 SUS201"/>
    <n v="69"/>
    <s v="PCS."/>
    <n v="960"/>
    <n v="66240"/>
    <m/>
    <m/>
    <m/>
    <m/>
    <m/>
    <n v="66240"/>
    <s v="V1000105 - บริษัท เซเว่นไฟว์ ดิสทริบิวเตอร์ จำกัด"/>
    <x v="0"/>
    <m/>
    <m/>
    <m/>
    <n v="-46015"/>
    <s v="Ontime"/>
    <s v="PD"/>
    <m/>
  </r>
  <r>
    <n v="111"/>
    <s v="Expent  cost for stage 2"/>
    <d v="2025-12-18T00:00:00"/>
    <s v="PR2526-03844"/>
    <s v="PO2526-05349"/>
    <d v="2025-12-24T00:00:00"/>
    <n v="60"/>
    <s v="SFST81000050"/>
    <n v="2"/>
    <s v="Cover for GN 2/1_x000a_SUS201"/>
    <n v="69"/>
    <s v="PCS."/>
    <n v="960"/>
    <n v="66240"/>
    <m/>
    <m/>
    <m/>
    <m/>
    <m/>
    <n v="66240"/>
    <s v="V1000105 - บริษัท เซเว่นไฟว์ ดิสทริบิวเตอร์ จำกัด"/>
    <x v="0"/>
    <m/>
    <m/>
    <m/>
    <n v="-46015"/>
    <s v="Ontime"/>
    <s v="PD"/>
    <m/>
  </r>
  <r>
    <n v="112"/>
    <s v="Expent  cost for stage 2"/>
    <d v="2025-12-18T00:00:00"/>
    <s v="PR2526-03844"/>
    <s v="PO2526-05349"/>
    <d v="2025-12-24T00:00:00"/>
    <n v="60"/>
    <s v="SFST81000050"/>
    <n v="3"/>
    <s v="Hand scrapers PLASTIC SCRAPER MODEL SN4051"/>
    <n v="12"/>
    <s v="PCS."/>
    <n v="70"/>
    <n v="840"/>
    <m/>
    <n v="840"/>
    <m/>
    <m/>
    <m/>
    <n v="0"/>
    <s v="V1000105 - บริษัท เซเว่นไฟว์ ดิสทริบิวเตอร์ จำกัด"/>
    <x v="1"/>
    <s v="GRN2526-0007107"/>
    <d v="2026-01-17T00:00:00"/>
    <m/>
    <n v="24"/>
    <s v="Ontime"/>
    <s v="PD"/>
    <m/>
  </r>
  <r>
    <n v="113"/>
    <s v="Expent  cost for stage 2"/>
    <d v="2025-12-18T00:00:00"/>
    <s v="PR2526-03844"/>
    <s v="PO2526-05349"/>
    <d v="2025-12-24T00:00:00"/>
    <n v="60"/>
    <s v="SFST81000050"/>
    <n v="4"/>
    <s v="Colander (one piese skimmer 18 cm) 302.118"/>
    <n v="4"/>
    <s v="PCS."/>
    <n v="960"/>
    <n v="3840"/>
    <m/>
    <n v="3840"/>
    <m/>
    <m/>
    <m/>
    <n v="0"/>
    <s v="V1000105 - บริษัท เซเว่นไฟว์ ดิสทริบิวเตอร์ จำกัด"/>
    <x v="1"/>
    <s v="GRN2526-0007107"/>
    <d v="2026-01-17T00:00:00"/>
    <m/>
    <n v="24"/>
    <s v="Ontime"/>
    <s v="PD"/>
    <m/>
  </r>
  <r>
    <n v="114"/>
    <s v="Expent  cost for stage 2"/>
    <d v="2025-12-18T00:00:00"/>
    <s v="PR2526-03844"/>
    <s v="PO2526-05349"/>
    <d v="2025-12-24T00:00:00"/>
    <n v="60"/>
    <s v="SFST81000050"/>
    <n v="5"/>
    <s v="Colander (filter) 22 cm #303.022"/>
    <n v="2"/>
    <s v="PCS."/>
    <n v="960"/>
    <n v="1920"/>
    <m/>
    <n v="1920"/>
    <m/>
    <m/>
    <m/>
    <n v="0"/>
    <s v="V1000105 - บริษัท เซเว่นไฟว์ ดิสทริบิวเตอร์ จำกัด"/>
    <x v="1"/>
    <s v="GRN2526-0007107"/>
    <d v="2026-01-17T00:00:00"/>
    <m/>
    <n v="24"/>
    <s v="Ontime"/>
    <s v="PD"/>
    <m/>
  </r>
  <r>
    <n v="115"/>
    <s v="Expent  cost for stage 2"/>
    <d v="2025-12-18T00:00:00"/>
    <s v="PR2526-03844"/>
    <s v="PO2526-05349"/>
    <d v="2025-12-24T00:00:00"/>
    <n v="60"/>
    <s v="SFST81000050"/>
    <n v="6"/>
    <s v="Big Stainlass Egg Whisk Big whisk 8 wires 100 cm."/>
    <n v="7"/>
    <s v="PCS."/>
    <n v="2500"/>
    <n v="17500"/>
    <m/>
    <n v="17500"/>
    <m/>
    <m/>
    <m/>
    <n v="0"/>
    <s v="V1000105 - บริษัท เซเว่นไฟว์ ดิสทริบิวเตอร์ จำกัด"/>
    <x v="1"/>
    <s v="GRN2526-0007107"/>
    <d v="2026-01-17T00:00:00"/>
    <m/>
    <n v="24"/>
    <s v="Ontime"/>
    <s v="PD"/>
    <m/>
  </r>
  <r>
    <n v="116"/>
    <s v="Expent  cost for stage 2"/>
    <d v="2025-12-18T00:00:00"/>
    <s v="PR2526-03844"/>
    <s v="PO2526-05349"/>
    <d v="2025-12-24T00:00:00"/>
    <n v="60"/>
    <s v="SFST81000050"/>
    <n v="7"/>
    <s v="Basin with holes 1/2 x 100 Perforated GN12100P"/>
    <n v="5"/>
    <s v="PCS."/>
    <n v="490"/>
    <n v="2450"/>
    <m/>
    <n v="2450"/>
    <m/>
    <m/>
    <m/>
    <n v="0"/>
    <s v="V1000105 - บริษัท เซเว่นไฟว์ ดิสทริบิวเตอร์ จำกัด"/>
    <x v="1"/>
    <s v="GRN2526-0007107"/>
    <d v="2026-01-17T00:00:00"/>
    <m/>
    <n v="24"/>
    <s v="Ontime"/>
    <s v="PD"/>
    <m/>
  </r>
  <r>
    <n v="117"/>
    <s v="Expent  cost for stage 2"/>
    <d v="2025-12-18T00:00:00"/>
    <s v="PR2526-03844"/>
    <s v="PO2526-05349"/>
    <d v="2025-12-24T00:00:00"/>
    <n v="60"/>
    <s v="SFST81000050"/>
    <n v="8"/>
    <s v="Small Stainlass Egg Whisk 12 wires 40 cm"/>
    <n v="7"/>
    <s v="PCS."/>
    <n v="450"/>
    <n v="3150"/>
    <m/>
    <n v="3150"/>
    <m/>
    <m/>
    <m/>
    <n v="0"/>
    <s v="V1000105 - บริษัท เซเว่นไฟว์ ดิสทริบิวเตอร์ จำกัด"/>
    <x v="1"/>
    <s v="GRN2526-0007107"/>
    <d v="2026-01-17T00:00:00"/>
    <m/>
    <n v="24"/>
    <s v="Ontime"/>
    <s v="PD"/>
    <m/>
  </r>
  <r>
    <n v="118"/>
    <s v="Expent  cost for stage 2"/>
    <d v="2025-12-18T00:00:00"/>
    <s v="PR2526-03844"/>
    <s v="PO2526-05349"/>
    <d v="2025-12-24T00:00:00"/>
    <n v="60"/>
    <s v="SFST81000050"/>
    <n v="9"/>
    <s v="Spoon KK-MCHS54"/>
    <n v="6"/>
    <s v="PCS."/>
    <n v="250"/>
    <n v="1500"/>
    <m/>
    <n v="1500"/>
    <m/>
    <m/>
    <m/>
    <n v="0"/>
    <s v="V1000105 - บริษัท เซเว่นไฟว์ ดิสทริบิวเตอร์ จำกัด"/>
    <x v="1"/>
    <s v="GRN2526-0007107"/>
    <d v="2026-01-17T00:00:00"/>
    <m/>
    <n v="24"/>
    <s v="Ontime"/>
    <s v="PD"/>
    <m/>
  </r>
  <r>
    <n v="119"/>
    <s v="Expent  cost for stage 2"/>
    <d v="2025-12-18T00:00:00"/>
    <s v="PR2526-03844"/>
    <s v="PO2526-05349"/>
    <d v="2025-12-24T00:00:00"/>
    <n v="60"/>
    <s v="SFST81000050"/>
    <n v="10"/>
    <s v="Stainless steel bowl KK-MBP05 29-30 cm"/>
    <n v="6"/>
    <s v="PCS."/>
    <n v="200"/>
    <n v="1200"/>
    <m/>
    <n v="1200"/>
    <m/>
    <m/>
    <m/>
    <n v="0"/>
    <s v="V1000105 - บริษัท เซเว่นไฟว์ ดิสทริบิวเตอร์ จำกัด"/>
    <x v="1"/>
    <s v="GRN2526-0007107"/>
    <d v="2026-01-17T00:00:00"/>
    <m/>
    <n v="24"/>
    <s v="Ontime"/>
    <s v="PD"/>
    <m/>
  </r>
  <r>
    <n v="120"/>
    <s v="Expent  cost for stage 2"/>
    <d v="2025-12-18T00:00:00"/>
    <s v="PR2526-03844"/>
    <s v="PO2526-05349"/>
    <d v="2025-12-24T00:00:00"/>
    <n v="60"/>
    <s v="SFST81000050"/>
    <n v="11"/>
    <s v="Stainless Ladel 0.5 oz."/>
    <n v="3"/>
    <s v="PCS."/>
    <n v="60"/>
    <n v="180"/>
    <m/>
    <n v="180"/>
    <m/>
    <m/>
    <m/>
    <n v="0"/>
    <s v="V1000105 - บริษัท เซเว่นไฟว์ ดิสทริบิวเตอร์ จำกัด"/>
    <x v="1"/>
    <s v="GRN2526-0007107"/>
    <d v="2026-01-17T00:00:00"/>
    <m/>
    <n v="24"/>
    <s v="Ontime"/>
    <s v="PD"/>
    <m/>
  </r>
  <r>
    <n v="121"/>
    <s v="Expent  cost for stage 2"/>
    <d v="2025-12-18T00:00:00"/>
    <s v="PR2526-03844"/>
    <s v="PO2526-05349"/>
    <d v="2025-12-24T00:00:00"/>
    <n v="60"/>
    <s v="SFST81000050"/>
    <n v="12"/>
    <s v="Stainless Ladel 1.0 oz."/>
    <n v="8"/>
    <s v="PCS."/>
    <n v="60"/>
    <n v="480"/>
    <m/>
    <m/>
    <m/>
    <m/>
    <m/>
    <n v="480"/>
    <s v="V1000105 - บริษัท เซเว่นไฟว์ ดิสทริบิวเตอร์ จำกัด"/>
    <x v="0"/>
    <m/>
    <m/>
    <m/>
    <n v="-46015"/>
    <s v="Ontime"/>
    <s v="PD"/>
    <m/>
  </r>
  <r>
    <n v="122"/>
    <s v="Expent  cost for stage 2"/>
    <d v="2025-12-18T00:00:00"/>
    <s v="PR2526-03844"/>
    <s v="PO2526-05349"/>
    <d v="2025-12-24T00:00:00"/>
    <n v="60"/>
    <s v="SFST81000050"/>
    <n v="13"/>
    <s v="Stainless Ladel 1.5 oz."/>
    <n v="10"/>
    <s v="PCS."/>
    <n v="70"/>
    <n v="700"/>
    <m/>
    <n v="700"/>
    <m/>
    <m/>
    <m/>
    <n v="0"/>
    <s v="V1000105 - บริษัท เซเว่นไฟว์ ดิสทริบิวเตอร์ จำกัด"/>
    <x v="1"/>
    <s v="GRN2526-0007107"/>
    <d v="2026-01-17T00:00:00"/>
    <m/>
    <n v="24"/>
    <s v="Ontime"/>
    <s v="PD"/>
    <m/>
  </r>
  <r>
    <n v="123"/>
    <s v="Expent  cost for stage 2"/>
    <d v="2025-12-18T00:00:00"/>
    <s v="PR2526-03844"/>
    <s v="PO2526-05349"/>
    <d v="2025-12-24T00:00:00"/>
    <n v="60"/>
    <s v="SFST81000050"/>
    <n v="14"/>
    <s v="Scale PRC1-KK-MJ250"/>
    <n v="6"/>
    <s v="PCS."/>
    <n v="160"/>
    <n v="960"/>
    <m/>
    <n v="960"/>
    <m/>
    <m/>
    <m/>
    <n v="0"/>
    <s v="V1000105 - บริษัท เซเว่นไฟว์ ดิสทริบิวเตอร์ จำกัด"/>
    <x v="1"/>
    <s v="GRN2526-0007107"/>
    <d v="2026-01-17T00:00:00"/>
    <m/>
    <n v="24"/>
    <s v="Ontime"/>
    <s v="PD"/>
    <m/>
  </r>
  <r>
    <n v="124"/>
    <s v="Expent  cost for stage 2"/>
    <d v="2025-12-19T00:00:00"/>
    <s v="PR2526-03853"/>
    <s v="PO2526-05350"/>
    <d v="2025-12-24T00:00:00"/>
    <n v="60"/>
    <s v="SFST81000050"/>
    <n v="1"/>
    <s v="Short spatula มีขอบ"/>
    <n v="12"/>
    <s v="PCS."/>
    <n v="1000"/>
    <n v="12000"/>
    <m/>
    <n v="12000"/>
    <m/>
    <m/>
    <m/>
    <n v="0"/>
    <s v="V1000287 - SIAM STAINLESS &amp; FURNITURE CO., LTD."/>
    <x v="1"/>
    <s v="GRN2526-0007145"/>
    <d v="2026-01-19T00:00:00"/>
    <m/>
    <n v="26"/>
    <s v="Ontime"/>
    <s v="PD"/>
    <m/>
  </r>
  <r>
    <n v="125"/>
    <s v="Expent  cost for stage 2"/>
    <d v="2025-12-19T00:00:00"/>
    <s v="PR2526-03853"/>
    <s v="PO2526-05350"/>
    <d v="2025-12-24T00:00:00"/>
    <n v="60"/>
    <s v="SFST81000050"/>
    <n v="2"/>
    <s v="Short spatula ไม่มีขอบ"/>
    <n v="12"/>
    <s v="PCS."/>
    <n v="1100"/>
    <n v="13200"/>
    <m/>
    <n v="13200"/>
    <m/>
    <m/>
    <m/>
    <n v="0"/>
    <s v="V1000287 - SIAM STAINLESS &amp; FURNITURE CO., LTD."/>
    <x v="1"/>
    <s v="GRN2526-0007145"/>
    <d v="2026-01-19T00:00:00"/>
    <m/>
    <n v="26"/>
    <s v="Ontime"/>
    <s v="PD"/>
    <m/>
  </r>
  <r>
    <n v="126"/>
    <s v="Expent  cost for stage 2"/>
    <d v="2025-12-19T00:00:00"/>
    <s v="PR2526-03853"/>
    <s v="PO2526-05350"/>
    <d v="2025-12-24T00:00:00"/>
    <n v="60"/>
    <s v="SFST81000050"/>
    <n v="3"/>
    <s v="Dipper (ขันตักซุป)"/>
    <n v="12"/>
    <s v="PCS."/>
    <n v="950"/>
    <n v="11400"/>
    <m/>
    <n v="11400"/>
    <m/>
    <m/>
    <m/>
    <n v="0"/>
    <s v="V1000287 - SIAM STAINLESS &amp; FURNITURE CO., LTD."/>
    <x v="1"/>
    <s v="GRN2526-0007145"/>
    <d v="2026-01-19T00:00:00"/>
    <m/>
    <n v="26"/>
    <s v="Ontime"/>
    <s v="PD"/>
    <m/>
  </r>
  <r>
    <n v="127"/>
    <s v="Expent  cost for stage 2"/>
    <d v="2025-12-19T00:00:00"/>
    <s v="PR2526-03853"/>
    <s v="PO2526-05350"/>
    <d v="2025-12-24T00:00:00"/>
    <n v="60"/>
    <s v="SFST81000050"/>
    <n v="4"/>
    <s v="Long spatula"/>
    <n v="12"/>
    <s v="PCS."/>
    <n v="1700"/>
    <n v="20400"/>
    <m/>
    <n v="20400"/>
    <m/>
    <m/>
    <m/>
    <n v="0"/>
    <s v="V1000287 - SIAM STAINLESS &amp; FURNITURE CO., LTD."/>
    <x v="1"/>
    <s v="GRN2526-0007145"/>
    <d v="2026-01-19T00:00:00"/>
    <m/>
    <n v="26"/>
    <s v="Ontime"/>
    <s v="PD"/>
    <m/>
  </r>
  <r>
    <n v="128"/>
    <s v="CAPEX  (Budget)"/>
    <d v="2025-12-19T00:00:00"/>
    <s v="PR2526-03859"/>
    <s v="PO2526-05353 "/>
    <d v="2025-12-24T00:00:00"/>
    <n v="60"/>
    <s v="SFST82000016"/>
    <n v="1"/>
    <s v="Trolley GN Pan Size 2/1"/>
    <n v="7"/>
    <s v="PCS."/>
    <n v="17000"/>
    <n v="119000"/>
    <m/>
    <n v="119000"/>
    <m/>
    <m/>
    <m/>
    <n v="0"/>
    <s v="V1000287 - SIAM STAINLESS &amp; FURNITURE CO., LTD."/>
    <x v="1"/>
    <s v="GRN2526-0007146"/>
    <d v="2025-01-19T00:00:00"/>
    <m/>
    <n v="-339"/>
    <s v="Ontime"/>
    <s v="PD"/>
    <m/>
  </r>
  <r>
    <n v="129"/>
    <s v="CAPEX  (Budget)"/>
    <d v="2025-12-19T00:00:00"/>
    <s v="PR2526-03859"/>
    <s v="PO2526-05353 "/>
    <d v="2025-12-24T00:00:00"/>
    <n v="60"/>
    <s v="SFST82000016"/>
    <n v="2"/>
    <s v="Wheel pot 60 liter"/>
    <n v="7"/>
    <s v="PCS."/>
    <n v="8000"/>
    <n v="56000"/>
    <m/>
    <n v="56000"/>
    <m/>
    <m/>
    <m/>
    <n v="0"/>
    <s v="V1000287 - SIAM STAINLESS &amp; FURNITURE CO., LTD."/>
    <x v="1"/>
    <s v="GRN2526-0007146"/>
    <d v="2025-01-19T00:00:00"/>
    <m/>
    <n v="-339"/>
    <s v="Ontime"/>
    <s v="PD"/>
    <m/>
  </r>
  <r>
    <n v="130"/>
    <s v="CAPEX  (Budget)"/>
    <d v="2025-12-19T00:00:00"/>
    <s v="PR2526-03859"/>
    <s v="PO2526-05353 "/>
    <d v="2025-12-24T00:00:00"/>
    <n v="60"/>
    <s v="SFST82000016"/>
    <n v="3"/>
    <s v="Wheel pot 30 liter"/>
    <n v="6"/>
    <s v="PCS."/>
    <n v="7500"/>
    <n v="45000"/>
    <m/>
    <n v="45000"/>
    <m/>
    <m/>
    <m/>
    <n v="0"/>
    <s v="V1000287 - SIAM STAINLESS &amp; FURNITURE CO., LTD."/>
    <x v="1"/>
    <s v="GRN2526-0007146"/>
    <d v="2025-01-19T00:00:00"/>
    <m/>
    <n v="-339"/>
    <s v="Ontime"/>
    <s v="PD"/>
    <m/>
  </r>
  <r>
    <n v="131"/>
    <s v="CAPEX  (Budget)"/>
    <d v="2025-12-19T00:00:00"/>
    <s v="PR2526-03859"/>
    <s v="PO2526-05353 "/>
    <d v="2025-12-24T00:00:00"/>
    <n v="60"/>
    <s v="SFST82000016"/>
    <n v="4"/>
    <s v="Basket wheel"/>
    <n v="31"/>
    <s v="PCS."/>
    <n v="6800"/>
    <n v="210800"/>
    <m/>
    <n v="210800"/>
    <m/>
    <m/>
    <m/>
    <n v="0"/>
    <s v="V1000287 - SIAM STAINLESS &amp; FURNITURE CO., LTD."/>
    <x v="1"/>
    <s v="GRN2526-0007146"/>
    <d v="2025-01-19T00:00:00"/>
    <m/>
    <n v="-339"/>
    <s v="Ontime"/>
    <s v="PD"/>
    <m/>
  </r>
  <r>
    <n v="132"/>
    <s v="CAPEX  (Budget)"/>
    <d v="2025-12-19T00:00:00"/>
    <s v="PR2526-03859"/>
    <s v="PO2526-05353 "/>
    <d v="2025-12-24T00:00:00"/>
    <n v="60"/>
    <s v="SFST82000016"/>
    <n v="5"/>
    <s v="Chlorine bath for soaking"/>
    <n v="6"/>
    <s v="PCS."/>
    <n v="11500"/>
    <n v="69000"/>
    <m/>
    <n v="69000"/>
    <m/>
    <m/>
    <m/>
    <n v="0"/>
    <s v="V1000287 - SIAM STAINLESS &amp; FURNITURE CO., LTD."/>
    <x v="1"/>
    <s v="GRN2526-0007146"/>
    <d v="2025-01-19T00:00:00"/>
    <m/>
    <n v="-339"/>
    <s v="Ontime"/>
    <s v="PD"/>
    <m/>
  </r>
  <r>
    <n v="133"/>
    <s v="CAPEX  (Budget)"/>
    <d v="2025-12-19T00:00:00"/>
    <s v="PR2526-03859"/>
    <s v="PO2526-05353 "/>
    <d v="2025-12-24T00:00:00"/>
    <n v="60"/>
    <s v="SFST82000016"/>
    <n v="6"/>
    <s v="Food tray tables"/>
    <n v="12"/>
    <s v="PCS."/>
    <n v="14500"/>
    <n v="174000"/>
    <m/>
    <n v="174000"/>
    <m/>
    <m/>
    <m/>
    <n v="0"/>
    <s v="V1000287 - SIAM STAINLESS &amp; FURNITURE CO., LTD."/>
    <x v="1"/>
    <s v="GRN2526-0007146"/>
    <d v="2025-01-19T00:00:00"/>
    <m/>
    <n v="-339"/>
    <s v="Ontime"/>
    <s v="PD"/>
    <m/>
  </r>
  <r>
    <n v="134"/>
    <s v="CAPEX  (Budget)"/>
    <d v="2025-12-19T00:00:00"/>
    <s v="PR2526-03859"/>
    <s v="PO2526-05353 "/>
    <d v="2025-12-24T00:00:00"/>
    <n v="60"/>
    <s v="SFST82000016"/>
    <n v="7"/>
    <s v="Wheel weigh"/>
    <n v="7"/>
    <s v="PCS."/>
    <n v="8700"/>
    <n v="60900"/>
    <m/>
    <n v="60900"/>
    <m/>
    <m/>
    <m/>
    <n v="0"/>
    <s v="V1000287 - SIAM STAINLESS &amp; FURNITURE CO., LTD."/>
    <x v="1"/>
    <s v="GRN2526-0007146"/>
    <d v="2025-01-19T00:00:00"/>
    <m/>
    <n v="-339"/>
    <s v="Ontime"/>
    <s v="PD"/>
    <m/>
  </r>
  <r>
    <n v="135"/>
    <s v="CAPEX  (Budget)"/>
    <d v="2025-12-19T00:00:00"/>
    <s v="PR2526-03859"/>
    <s v="PO2526-05353 "/>
    <d v="2025-12-24T00:00:00"/>
    <n v="60"/>
    <s v="SFST82000016"/>
    <n v="8"/>
    <s v="Pot support wheels"/>
    <n v="3"/>
    <s v="PCS."/>
    <n v="7500"/>
    <n v="22500"/>
    <m/>
    <n v="22500"/>
    <m/>
    <m/>
    <m/>
    <n v="0"/>
    <s v="V1000287 - SIAM STAINLESS &amp; FURNITURE CO., LTD."/>
    <x v="1"/>
    <s v="GRN2526-0007146"/>
    <d v="2025-01-19T00:00:00"/>
    <m/>
    <n v="-339"/>
    <s v="Ontime"/>
    <s v="PD"/>
    <m/>
  </r>
  <r>
    <n v="136"/>
    <s v="CAPEX  (Budget)"/>
    <d v="2025-12-19T00:00:00"/>
    <s v="PR2526-03859"/>
    <s v="PO2526-05353 "/>
    <d v="2025-12-24T00:00:00"/>
    <n v="60"/>
    <s v="SFST82000016"/>
    <n v="9"/>
    <s v="Blanch basket 20 mm."/>
    <n v="6"/>
    <s v="PCS."/>
    <n v="6800"/>
    <n v="40800"/>
    <m/>
    <n v="40800"/>
    <m/>
    <m/>
    <m/>
    <n v="0"/>
    <s v="V1000287 - SIAM STAINLESS &amp; FURNITURE CO., LTD."/>
    <x v="1"/>
    <s v="GRN2526-0007146"/>
    <d v="2025-01-19T00:00:00"/>
    <m/>
    <n v="-339"/>
    <s v="Ontime"/>
    <s v="PD"/>
    <m/>
  </r>
  <r>
    <n v="137"/>
    <s v="CAPEX  (Budget)"/>
    <d v="2025-12-19T00:00:00"/>
    <s v="PR2526-03859"/>
    <s v="PO2526-05353 "/>
    <d v="2025-12-24T00:00:00"/>
    <n v="60"/>
    <s v="SFST82000016"/>
    <n v="10"/>
    <s v="Blanch basket 10 mm"/>
    <n v="6"/>
    <s v="PCS."/>
    <n v="7000"/>
    <n v="42000"/>
    <m/>
    <n v="42000"/>
    <m/>
    <m/>
    <m/>
    <n v="0"/>
    <s v="V1000287 - SIAM STAINLESS &amp; FURNITURE CO., LTD."/>
    <x v="1"/>
    <s v="GRN2526-0007146"/>
    <d v="2025-01-19T00:00:00"/>
    <m/>
    <n v="-339"/>
    <s v="Ontime"/>
    <s v="PD"/>
    <m/>
  </r>
  <r>
    <n v="138"/>
    <s v="CAPEX  (Budget)"/>
    <d v="2025-12-19T00:00:00"/>
    <s v="PR2526-03859"/>
    <s v="PO2526-05353 "/>
    <d v="2025-12-24T00:00:00"/>
    <n v="60"/>
    <s v="SFST82000016"/>
    <n v="11"/>
    <s v="Report writing desk"/>
    <n v="10"/>
    <s v="PCS."/>
    <n v="6500"/>
    <n v="65000"/>
    <m/>
    <n v="65000"/>
    <m/>
    <m/>
    <m/>
    <n v="0"/>
    <s v="V1000287 - SIAM STAINLESS &amp; FURNITURE CO., LTD."/>
    <x v="1"/>
    <s v="GRN2526-0007146"/>
    <d v="2025-01-19T00:00:00"/>
    <m/>
    <n v="-339"/>
    <s v="Ontime"/>
    <s v="PD"/>
    <m/>
  </r>
  <r>
    <n v="139"/>
    <s v="CAPEX  (Budget)"/>
    <d v="2025-12-19T00:00:00"/>
    <s v="PR2526-03859"/>
    <s v="PO2526-05353 "/>
    <d v="2025-12-24T00:00:00"/>
    <n v="60"/>
    <s v="SFST82000016"/>
    <n v="12"/>
    <s v="Garbage bag frame"/>
    <n v="24"/>
    <s v="PCS."/>
    <n v="5800"/>
    <n v="139200"/>
    <m/>
    <n v="139200"/>
    <m/>
    <m/>
    <m/>
    <n v="0"/>
    <s v="V1000287 - SIAM STAINLESS &amp; FURNITURE CO., LTD."/>
    <x v="1"/>
    <s v="GRN2526-0007146"/>
    <d v="2025-01-19T00:00:00"/>
    <m/>
    <n v="-339"/>
    <s v="Ontime"/>
    <s v="PD"/>
    <m/>
  </r>
  <r>
    <n v="140"/>
    <s v="CAPEX  (Budget)"/>
    <d v="2025-12-19T00:00:00"/>
    <s v="PR2526-03859"/>
    <s v="PO2526-05353 "/>
    <d v="2025-12-24T00:00:00"/>
    <n v="60"/>
    <s v="SFST82000016"/>
    <n v="13"/>
    <s v="Condemn box"/>
    <n v="3"/>
    <s v="PCS."/>
    <n v="10500"/>
    <n v="31500"/>
    <m/>
    <n v="31500"/>
    <m/>
    <m/>
    <m/>
    <n v="0"/>
    <s v="V1000287 - SIAM STAINLESS &amp; FURNITURE CO., LTD."/>
    <x v="1"/>
    <s v="GRN2526-0007146"/>
    <d v="2025-01-19T00:00:00"/>
    <m/>
    <n v="-339"/>
    <s v="Ontime"/>
    <s v="PD"/>
    <m/>
  </r>
  <r>
    <n v="141"/>
    <s v="CAPEX  (Budget)"/>
    <d v="2025-12-19T00:00:00"/>
    <s v="PR2526-03859"/>
    <s v="PO2526-05353 "/>
    <d v="2025-12-24T00:00:00"/>
    <n v="60"/>
    <s v="SFST82000016"/>
    <n v="14"/>
    <s v="Chemical storage cabinet"/>
    <n v="3"/>
    <s v="PCS."/>
    <n v="16000"/>
    <n v="48000"/>
    <m/>
    <n v="48000"/>
    <m/>
    <m/>
    <m/>
    <n v="0"/>
    <s v="V1000287 - SIAM STAINLESS &amp; FURNITURE CO., LTD."/>
    <x v="1"/>
    <s v="GRN2526-0007146"/>
    <d v="2025-01-19T00:00:00"/>
    <m/>
    <n v="-339"/>
    <s v="Ontime"/>
    <s v="PD"/>
    <m/>
  </r>
  <r>
    <n v="142"/>
    <s v="CAPEX  (Budget)"/>
    <d v="2025-12-19T00:00:00"/>
    <s v="PR2526-03859"/>
    <s v="PO2526-05353 "/>
    <d v="2025-12-24T00:00:00"/>
    <n v="60"/>
    <s v="SFST82000016"/>
    <n v="15"/>
    <s v="Shelf of equipment (70x145x160)"/>
    <n v="5"/>
    <s v="PCS."/>
    <n v="17500"/>
    <n v="87500"/>
    <m/>
    <n v="87500"/>
    <m/>
    <m/>
    <m/>
    <n v="0"/>
    <s v="V1000287 - SIAM STAINLESS &amp; FURNITURE CO., LTD."/>
    <x v="1"/>
    <s v="GRN2526-0007146"/>
    <d v="2025-01-19T00:00:00"/>
    <m/>
    <n v="-339"/>
    <s v="Ontime"/>
    <s v="PD"/>
    <m/>
  </r>
  <r>
    <n v="143"/>
    <s v="CAPEX  (Budget)"/>
    <d v="2025-12-19T00:00:00"/>
    <s v="PR2526-03859"/>
    <s v="PO2526-05353 "/>
    <d v="2025-12-24T00:00:00"/>
    <n v="60"/>
    <s v="SFST82000016"/>
    <n v="16"/>
    <s v="Blanch car (รถเข็นล้างวัตถุดิบ)"/>
    <n v="4"/>
    <s v="PCS."/>
    <n v="14000"/>
    <n v="56000"/>
    <m/>
    <n v="56000"/>
    <m/>
    <m/>
    <m/>
    <n v="0"/>
    <s v="V1000287 - SIAM STAINLESS &amp; FURNITURE CO., LTD."/>
    <x v="1"/>
    <s v="GRN2526-0007146"/>
    <d v="2025-01-19T00:00:00"/>
    <m/>
    <n v="-339"/>
    <s v="Ontime"/>
    <s v="PD"/>
    <m/>
  </r>
  <r>
    <n v="144"/>
    <s v="CAPEX  (Budget)"/>
    <d v="2025-12-19T00:00:00"/>
    <s v="PR2526-03859"/>
    <s v="PO2526-05353 "/>
    <d v="2025-12-24T00:00:00"/>
    <n v="60"/>
    <s v="SFST82000016"/>
    <n v="17"/>
    <s v="Shelve for Batching size 700x2000x1500 mm"/>
    <n v="3"/>
    <s v="PCS."/>
    <n v="31500"/>
    <n v="94500"/>
    <m/>
    <n v="94500"/>
    <m/>
    <m/>
    <m/>
    <n v="0"/>
    <s v="V1000287 - SIAM STAINLESS &amp; FURNITURE CO., LTD."/>
    <x v="1"/>
    <s v="GRN2526-0007146"/>
    <d v="2025-01-19T00:00:00"/>
    <m/>
    <n v="-339"/>
    <s v="Ontime"/>
    <s v="PD"/>
    <m/>
  </r>
  <r>
    <n v="145"/>
    <s v="Expent  cost for stage 2"/>
    <d v="2025-12-24T00:00:00"/>
    <s v="PR2526-03860"/>
    <s v="PO2526-05617"/>
    <d v="2025-12-25T00:00:00"/>
    <n v="60"/>
    <s v="SFST81000081"/>
    <n v="1"/>
    <s v="สินค้าเสื่อมสภาพ"/>
    <n v="1"/>
    <s v="JOB."/>
    <n v="23000"/>
    <n v="23000"/>
    <m/>
    <n v="23000"/>
    <m/>
    <m/>
    <m/>
    <n v="0"/>
    <s v="V1000968 - G.T. GENERAL PROJECT CO., LTD."/>
    <x v="1"/>
    <s v="GRN2526-0006918"/>
    <d v="2026-01-17T00:00:00"/>
    <m/>
    <n v="23"/>
    <s v="Ontime"/>
    <s v="Safety"/>
    <m/>
  </r>
  <r>
    <n v="146"/>
    <s v="Expent  cost for stage 2"/>
    <d v="2025-12-11T00:00:00"/>
    <s v="PR2526-03682"/>
    <s v="PO2526-05334"/>
    <d v="2025-12-22T00:00:00"/>
    <n v="200"/>
    <s v="SFST81000013"/>
    <n v="1"/>
    <s v="Temporary Forklift rental 3 Month_x000a_Secondhand SUMITOMO Battery Counter Type Forklift Model 8FB25PXIII-V400_x000a_Maximum Loading 2500 Kg._x000a_Maximum Lifting Height 4000 mm._x000a_Mast Lower Height 2620 mm._x000a_Battery Lead Acid 48V,580AH Usage Limit per Month 250 Hours"/>
    <n v="3"/>
    <s v="Month"/>
    <n v="13900"/>
    <n v="41700"/>
    <m/>
    <m/>
    <m/>
    <m/>
    <m/>
    <n v="41700"/>
    <s v="V1000175 - บริษัท พลิค คอร์ปอเรชั่น จำกัด"/>
    <x v="0"/>
    <m/>
    <m/>
    <m/>
    <n v="-46013"/>
    <s v="Ontime"/>
    <s v="MN"/>
    <m/>
  </r>
  <r>
    <n v="147"/>
    <s v="Expent  cost for stage 2"/>
    <d v="2025-12-24T00:00:00"/>
    <s v="PR2526-03955"/>
    <s v="PO2526-06049"/>
    <d v="2026-01-22T00:00:00"/>
    <n v="60"/>
    <s v="SFST81000050"/>
    <n v="1"/>
    <s v="Tissue box Kimberly-Clark White 69530"/>
    <n v="30"/>
    <s v="PCS."/>
    <n v="1595"/>
    <n v="47850"/>
    <m/>
    <n v="47850"/>
    <m/>
    <m/>
    <m/>
    <n v="0"/>
    <s v="V1000837 - M PROSPER CO., LTD."/>
    <x v="1"/>
    <s v="GRN2526-0007591"/>
    <d v="2026-02-02T00:00:00"/>
    <m/>
    <n v="11"/>
    <s v="Ontime"/>
    <s v="PD"/>
    <m/>
  </r>
  <r>
    <n v="148"/>
    <s v="Expent  cost for stage 2"/>
    <d v="2025-12-24T00:00:00"/>
    <s v="PR2526-03955"/>
    <s v="PO2526-06050"/>
    <d v="2026-01-22T00:00:00"/>
    <n v="60"/>
    <s v="SFST81000050"/>
    <n v="2"/>
    <s v="Alcohol Dispenser/Sprayer PURE SERV PS-305AS"/>
    <n v="16"/>
    <s v="PCS."/>
    <n v="2875"/>
    <n v="46000"/>
    <m/>
    <n v="46000"/>
    <m/>
    <m/>
    <m/>
    <n v="0"/>
    <s v="V1000048 - Pure Serv Co., Ltd."/>
    <x v="1"/>
    <s v="GRN2526-0007798"/>
    <d v="2026-02-05T00:00:00"/>
    <m/>
    <n v="14"/>
    <s v="Ontime"/>
    <s v="PD"/>
    <m/>
  </r>
  <r>
    <n v="149"/>
    <s v="Expent  cost for stage 2"/>
    <d v="2025-12-25T00:00:00"/>
    <s v="PR2526-03956"/>
    <s v="PO2526-05391"/>
    <d v="2025-12-25T00:00:00"/>
    <n v="60"/>
    <s v="SFST81000050"/>
    <n v="1"/>
    <s v="Sample Foil lid for CPET tray (roll form)_x000a_Size: 23micron x 210mmW x 500mL_x000a_Color: emboss &amp; no printing"/>
    <n v="2"/>
    <s v="PCS."/>
    <n v="3450"/>
    <n v="6900"/>
    <m/>
    <n v="6900"/>
    <m/>
    <m/>
    <m/>
    <n v="0"/>
    <s v="V1000857 - MITSUI &amp; CO., (THAILAND) LTD."/>
    <x v="1"/>
    <s v="GRN2526-0007112"/>
    <d v="2026-01-19T00:00:00"/>
    <m/>
    <n v="25"/>
    <s v="Ontime"/>
    <s v="PD"/>
    <m/>
  </r>
  <r>
    <n v="150"/>
    <s v="Expent  cost for stage 2"/>
    <d v="2025-12-25T00:00:00"/>
    <s v="PR2526-03956"/>
    <s v="PO2526-05391"/>
    <d v="2025-12-25T00:00:00"/>
    <n v="60"/>
    <s v="SFST81000050"/>
    <n v="2"/>
    <s v="Size: 30micron x 210mmW x 500mL_x000a_Color: emboss &amp; no printing"/>
    <n v="2"/>
    <s v="PCS."/>
    <n v="3450"/>
    <n v="6900"/>
    <m/>
    <n v="6900"/>
    <m/>
    <m/>
    <m/>
    <n v="0"/>
    <s v="V1000857 - MITSUI &amp; CO., (THAILAND) LTD."/>
    <x v="1"/>
    <s v="GRN2526-0007112"/>
    <d v="2026-01-19T00:00:00"/>
    <m/>
    <n v="25"/>
    <s v="Ontime"/>
    <s v="PD"/>
    <m/>
  </r>
  <r>
    <n v="151"/>
    <s v="Expent  cost for stage 2"/>
    <d v="2025-12-25T00:00:00"/>
    <s v="PR2526-03956"/>
    <s v="PO2526-05391"/>
    <d v="2025-12-25T00:00:00"/>
    <n v="60"/>
    <s v="SFST81000050"/>
    <n v="3"/>
    <s v="Size: 40micron x 210mmW x 500mL_x000a_Color: emboss &amp; no printing"/>
    <n v="2"/>
    <s v="PCS."/>
    <n v="3450"/>
    <n v="6900"/>
    <m/>
    <n v="6900"/>
    <m/>
    <m/>
    <m/>
    <n v="0"/>
    <s v="V1000857 - MITSUI &amp; CO., (THAILAND) LTD."/>
    <x v="1"/>
    <s v="GRN2526-0007112"/>
    <d v="2026-01-19T00:00:00"/>
    <m/>
    <n v="25"/>
    <s v="Ontime"/>
    <s v="PD"/>
    <m/>
  </r>
  <r>
    <n v="152"/>
    <s v="Expent  cost for stage 2"/>
    <d v="2025-12-25T00:00:00"/>
    <s v="PR2526-03956"/>
    <s v="PO2526-05391"/>
    <d v="2025-12-25T00:00:00"/>
    <n v="60"/>
    <s v="SFST81000050"/>
    <n v="4"/>
    <s v="Size: 40micron x 210mmW x 500mL_x000a_Color:  plain - no emboss &amp; no printing"/>
    <n v="2"/>
    <s v="PCS."/>
    <n v="3450"/>
    <n v="6900"/>
    <m/>
    <n v="6900"/>
    <m/>
    <m/>
    <m/>
    <n v="0"/>
    <s v="V1000857 - MITSUI &amp; CO., (THAILAND) LTD."/>
    <x v="1"/>
    <s v="GRN2526-0007112"/>
    <d v="2026-01-19T00:00:00"/>
    <m/>
    <n v="25"/>
    <s v="Ontime"/>
    <s v="PD"/>
    <m/>
  </r>
  <r>
    <n v="153"/>
    <s v="Expent  cost for stage 2"/>
    <d v="2025-12-24T00:00:00"/>
    <s v="PR2526-03965"/>
    <s v="PO2526-05594"/>
    <d v="2026-01-06T00:00:00"/>
    <n v="30"/>
    <s v="SFST81000050"/>
    <n v="1"/>
    <s v="Pac B-50"/>
    <n v="10000"/>
    <s v="KG."/>
    <n v="6.9"/>
    <n v="69000"/>
    <m/>
    <n v="69000"/>
    <m/>
    <m/>
    <m/>
    <n v="0"/>
    <s v="V1000953 - GK FINECHEM CO., LTD."/>
    <x v="1"/>
    <s v="GRN2526-0006920"/>
    <d v="2026-01-13T00:00:00"/>
    <m/>
    <n v="7"/>
    <s v="Ontime"/>
    <s v="MN"/>
    <m/>
  </r>
  <r>
    <n v="154"/>
    <s v="Expent  cost for stage 2"/>
    <d v="2025-12-24T00:00:00"/>
    <s v="PR2526-03965"/>
    <s v="PO2526-05594"/>
    <d v="2026-01-06T00:00:00"/>
    <n v="30"/>
    <s v="SFST81000050"/>
    <n v="2"/>
    <s v="Cationic polymer (15 Kgs/Bag)"/>
    <n v="100"/>
    <s v="KG."/>
    <n v="295"/>
    <n v="29500"/>
    <m/>
    <n v="29500"/>
    <m/>
    <m/>
    <m/>
    <n v="0"/>
    <s v="V1000953 - GK FINECHEM CO., LTD."/>
    <x v="1"/>
    <s v="GRN2526-0006921"/>
    <d v="2026-01-13T00:00:00"/>
    <m/>
    <n v="7"/>
    <s v="Ontime"/>
    <s v="MN"/>
    <m/>
  </r>
  <r>
    <n v="155"/>
    <s v="Expent  cost for stage 2"/>
    <d v="2025-12-24T00:00:00"/>
    <s v="PR2526-03965"/>
    <s v="PO2526-05594"/>
    <d v="2026-01-06T00:00:00"/>
    <n v="30"/>
    <s v="SFST81000050"/>
    <n v="3"/>
    <s v="Anionic polymer (15 Kgs/Bag)"/>
    <n v="105"/>
    <s v="KG."/>
    <n v="235"/>
    <n v="24675"/>
    <m/>
    <n v="24675"/>
    <m/>
    <m/>
    <m/>
    <n v="0"/>
    <s v="V1000953 - GK FINECHEM CO., LTD."/>
    <x v="1"/>
    <s v="GRN2526-0006921"/>
    <d v="2026-01-13T00:00:00"/>
    <m/>
    <n v="7"/>
    <s v="Ontime"/>
    <s v="MN"/>
    <m/>
  </r>
  <r>
    <n v="156"/>
    <s v="Expent  cost for stage 2"/>
    <d v="2025-12-24T00:00:00"/>
    <s v="PR2526-03965"/>
    <s v="PO2526-05594"/>
    <d v="2026-01-06T00:00:00"/>
    <n v="30"/>
    <s v="SFST81000050"/>
    <n v="4"/>
    <s v="Anifoam (20 Kgs/Tank)"/>
    <n v="60"/>
    <s v="KG."/>
    <n v="195"/>
    <n v="11700"/>
    <m/>
    <n v="11700"/>
    <m/>
    <m/>
    <m/>
    <n v="0"/>
    <s v="V1000953 - GK FINECHEM CO., LTD."/>
    <x v="1"/>
    <s v="GRN2526-0006921"/>
    <d v="2026-01-13T00:00:00"/>
    <m/>
    <n v="7"/>
    <s v="Ontime"/>
    <s v="MN"/>
    <m/>
  </r>
  <r>
    <n v="157"/>
    <s v="Expent  cost for stage 2"/>
    <d v="2026-01-05T00:00:00"/>
    <s v="PR2526-04050"/>
    <s v="PO2526-05615"/>
    <d v="2026-01-08T00:00:00"/>
    <n v="30"/>
    <s v="SFST81000050"/>
    <n v="1"/>
    <s v="กรวยบอกทิศทางลม 50*200 cm. แถบสะท้อนแสง 3 แถบ"/>
    <n v="2"/>
    <s v="JOB."/>
    <n v="1200"/>
    <n v="2400"/>
    <m/>
    <n v="2400"/>
    <m/>
    <m/>
    <m/>
    <n v="0"/>
    <s v="V1000556 - Team Safety Sales Co., Ltd."/>
    <x v="1"/>
    <s v="GRN2526-0007143"/>
    <d v="2026-01-19T00:00:00"/>
    <m/>
    <n v="11"/>
    <s v="Ontime"/>
    <s v="Safety"/>
    <m/>
  </r>
  <r>
    <n v="158"/>
    <s v="Expent  cost for stage 2"/>
    <d v="2026-01-05T00:00:00"/>
    <s v="PR2526-04050"/>
    <s v="PO2526-05615"/>
    <d v="2026-01-08T00:00:00"/>
    <n v="30"/>
    <s v="SFST81000050"/>
    <n v="2"/>
    <s v="เสา+โครงกรวยลม 2 เมตร"/>
    <n v="2"/>
    <s v="JOB."/>
    <n v="4500"/>
    <n v="9000"/>
    <m/>
    <n v="9000"/>
    <m/>
    <m/>
    <m/>
    <n v="0"/>
    <s v="V1000556 - Team Safety Sales Co., Ltd."/>
    <x v="1"/>
    <s v="GRN2526-0007143"/>
    <d v="2026-01-19T00:00:00"/>
    <m/>
    <n v="11"/>
    <s v="Ontime"/>
    <s v="Safety"/>
    <m/>
  </r>
  <r>
    <n v="159"/>
    <s v="Expent  cost for stage 2"/>
    <d v="2026-01-16T00:00:00"/>
    <s v="PR2526-04291"/>
    <m/>
    <m/>
    <m/>
    <s v="SFST81000081"/>
    <n v="1"/>
    <s v="สินค้าเสื่อมสภาพ"/>
    <n v="1"/>
    <s v="JOB."/>
    <n v="23000"/>
    <n v="23000"/>
    <m/>
    <m/>
    <m/>
    <m/>
    <m/>
    <n v="23000"/>
    <m/>
    <x v="0"/>
    <m/>
    <m/>
    <m/>
    <s v=""/>
    <s v="Ontime"/>
    <s v="Safety"/>
    <m/>
  </r>
  <r>
    <n v="160"/>
    <s v="CAPEX  (Budget)"/>
    <d v="2026-01-16T00:00:00"/>
    <s v="PR2526-04292"/>
    <s v="PO2526-05977"/>
    <m/>
    <m/>
    <s v="SFST82000016"/>
    <n v="1"/>
    <s v="ราคาขายเงินสดเฉพาะหัวเก๋ง-คัสซี (รวมภาษีมูลค่าเพิ่ม)"/>
    <n v="1"/>
    <s v="JOB."/>
    <n v="1520000"/>
    <n v="1520000"/>
    <m/>
    <m/>
    <m/>
    <m/>
    <m/>
    <n v="1520000"/>
    <s v="V1000994 - SOON LEE MAHACHAI (1991) CO.,LTD."/>
    <x v="0"/>
    <m/>
    <m/>
    <m/>
    <s v=""/>
    <s v="Ontime"/>
    <s v="WH "/>
    <m/>
  </r>
  <r>
    <n v="161"/>
    <s v="CAPEX  (Budget)"/>
    <d v="2026-01-16T00:00:00"/>
    <s v="PR2526-04292"/>
    <s v="PO2526-05977"/>
    <m/>
    <m/>
    <s v="SFST82000016"/>
    <n v="2"/>
    <s v="ราคาตู้บรรทุก พร้อมเครื่องทำความเย็น (รวมภาษีมูลค่าเพิ่ม)"/>
    <n v="1"/>
    <s v="JOB."/>
    <n v="720000"/>
    <n v="720000"/>
    <m/>
    <m/>
    <m/>
    <m/>
    <m/>
    <n v="720000"/>
    <s v="V1000994 - SOON LEE MAHACHAI (1991) CO.,LTD."/>
    <x v="0"/>
    <m/>
    <m/>
    <m/>
    <s v=""/>
    <s v="Ontime"/>
    <s v="WH "/>
    <m/>
  </r>
  <r>
    <n v="162"/>
    <s v="Expent  cost for stage 2"/>
    <d v="2026-01-19T00:00:00"/>
    <s v="PR2526-04358"/>
    <s v="PO2526-05943"/>
    <d v="2026-01-20T00:00:00"/>
    <n v="30"/>
    <s v="SFST81000050"/>
    <n v="1"/>
    <s v="Hand Fresh-66"/>
    <n v="2"/>
    <s v="Drum"/>
    <n v="622.5"/>
    <n v="1245"/>
    <m/>
    <n v="1245"/>
    <m/>
    <m/>
    <m/>
    <n v="0"/>
    <s v="V1000778 - ECOLAB CO., LTD."/>
    <x v="1"/>
    <s v="GRN2526-0007251"/>
    <d v="2026-01-21T00:00:00"/>
    <m/>
    <n v="1"/>
    <s v="Ontime"/>
    <s v="QA"/>
    <m/>
  </r>
  <r>
    <n v="163"/>
    <s v="Expent  cost for stage 2"/>
    <d v="2026-01-19T00:00:00"/>
    <s v="PR2526-04358"/>
    <s v="PO2526-05943"/>
    <d v="2026-01-20T00:00:00"/>
    <n v="30"/>
    <s v="SFST81000050"/>
    <n v="2"/>
    <s v="Click 10"/>
    <n v="5"/>
    <s v="Drum"/>
    <n v="675"/>
    <n v="3375"/>
    <m/>
    <n v="3375"/>
    <m/>
    <m/>
    <m/>
    <n v="0"/>
    <s v="V1000778 - ECOLAB CO., LTD."/>
    <x v="1"/>
    <s v="GRN2526-0007251"/>
    <d v="2026-01-21T00:00:00"/>
    <m/>
    <n v="1"/>
    <s v="Ontime"/>
    <s v="QA"/>
    <m/>
  </r>
  <r>
    <n v="164"/>
    <s v="Expent  cost for stage 2"/>
    <d v="2026-01-19T00:00:00"/>
    <s v="PR2526-04358"/>
    <s v="PO2526-05943"/>
    <d v="2026-01-20T00:00:00"/>
    <n v="30"/>
    <s v="SFST81000050"/>
    <n v="3"/>
    <s v="Quorum Pink II HF"/>
    <n v="12"/>
    <s v="Drum"/>
    <n v="3450"/>
    <n v="41400"/>
    <m/>
    <n v="41400"/>
    <m/>
    <m/>
    <m/>
    <n v="0"/>
    <s v="V1000778 - ECOLAB CO., LTD."/>
    <x v="1"/>
    <s v="GRN2526-0007251"/>
    <d v="2026-01-21T00:00:00"/>
    <m/>
    <n v="1"/>
    <s v="Ontime"/>
    <s v="QA"/>
    <m/>
  </r>
  <r>
    <n v="165"/>
    <s v="Expent  cost for stage 2"/>
    <d v="2026-01-19T00:00:00"/>
    <s v="PR2526-04358"/>
    <s v="PO2526-05943"/>
    <d v="2026-01-20T00:00:00"/>
    <n v="30"/>
    <s v="SFST81000050"/>
    <n v="4"/>
    <s v="Topax 91-66"/>
    <n v="12"/>
    <s v="Drum"/>
    <n v="2850"/>
    <n v="34200"/>
    <m/>
    <n v="34200"/>
    <m/>
    <m/>
    <m/>
    <n v="0"/>
    <s v="V1000778 - ECOLAB CO., LTD."/>
    <x v="1"/>
    <s v="GRN2526-0007251"/>
    <d v="2026-01-21T00:00:00"/>
    <m/>
    <n v="1"/>
    <s v="Ontime"/>
    <s v="QA"/>
    <m/>
  </r>
  <r>
    <n v="166"/>
    <s v="Expent  cost for stage 2"/>
    <d v="2026-01-19T00:00:00"/>
    <s v="PR2526-04358"/>
    <s v="PO2526-05943"/>
    <d v="2026-01-20T00:00:00"/>
    <n v="30"/>
    <s v="SFST81000050"/>
    <n v="5"/>
    <s v="MIP Liquid"/>
    <n v="6"/>
    <s v="Drum"/>
    <n v="1665"/>
    <n v="9990"/>
    <m/>
    <n v="9990"/>
    <m/>
    <m/>
    <m/>
    <n v="0"/>
    <s v="V1000778 - ECOLAB CO., LTD."/>
    <x v="1"/>
    <s v="GRN2526-0007251"/>
    <d v="2026-01-21T00:00:00"/>
    <m/>
    <n v="1"/>
    <s v="Ontime"/>
    <s v="QA"/>
    <m/>
  </r>
  <r>
    <n v="167"/>
    <s v="Expent  cost for stage 2"/>
    <d v="2026-01-19T00:00:00"/>
    <s v="PR2526-04358"/>
    <s v="PO2526-05943"/>
    <d v="2026-01-20T00:00:00"/>
    <n v="30"/>
    <s v="SFST81000050"/>
    <n v="6"/>
    <s v="Rinse Dry"/>
    <n v="6"/>
    <s v="Drum"/>
    <n v="2200"/>
    <n v="13200"/>
    <m/>
    <n v="13200"/>
    <m/>
    <m/>
    <m/>
    <n v="0"/>
    <s v="V1000778 - ECOLAB CO., LTD."/>
    <x v="1"/>
    <s v="GRN2526-0007251"/>
    <d v="2026-01-21T00:00:00"/>
    <m/>
    <n v="1"/>
    <s v="Ontime"/>
    <s v="QA"/>
    <m/>
  </r>
  <r>
    <n v="168"/>
    <s v="Expent  cost for stage 2"/>
    <d v="2026-01-21T00:00:00"/>
    <s v="PR2526-04388"/>
    <s v="PO2526-06046"/>
    <d v="2026-01-22T00:00:00"/>
    <n v="30"/>
    <s v="SFST11000070"/>
    <n v="1"/>
    <s v="ก๊าซปิโตรเลียมเหลว ( LPG)"/>
    <n v="8266"/>
    <s v="KG."/>
    <n v="22.11"/>
    <n v="182761.26"/>
    <m/>
    <n v="182761.26"/>
    <m/>
    <m/>
    <m/>
    <n v="0"/>
    <s v=" V1000786 - UNIQUE GAS &amp; PETROCHEMICALS PUBLIC COMPANY LIMITED"/>
    <x v="1"/>
    <s v="GRN2526-0007351"/>
    <d v="2026-01-23T00:00:00"/>
    <m/>
    <n v="1"/>
    <s v="Ontime"/>
    <s v="MN"/>
    <m/>
  </r>
  <r>
    <n v="169"/>
    <s v="Expent  cost for stage 2"/>
    <d v="2026-01-21T00:00:00"/>
    <s v="PR2526-04392"/>
    <s v="PO2526-06302 "/>
    <d v="2026-01-29T00:00:00"/>
    <n v="120"/>
    <s v="SFST81000050"/>
    <n v="1"/>
    <s v="Additional Thawing Tray (No.4)_x000a_Size: 540x755x40 mm._x000a_Material: SUS.304_x000a_R-bar Dia.S/16&quot;, 1/8&quot; SUS.304_x000a_As per Drawing Micropure No. TWTR5378-4_x000a_Stainless Steel Nikel 8 %_x000a_Remark: Change this R-bar Dia.5/16&quot;"/>
    <n v="383"/>
    <s v="JOB."/>
    <n v="100"/>
    <n v="38300"/>
    <m/>
    <n v="38300"/>
    <m/>
    <m/>
    <m/>
    <n v="0"/>
    <s v="V1000255 - Micropure Co.,ltd."/>
    <x v="1"/>
    <s v="GRN2526-0007605"/>
    <d v="2026-02-02T00:00:00"/>
    <m/>
    <n v="4"/>
    <s v="Ontime"/>
    <s v="PD"/>
    <m/>
  </r>
  <r>
    <n v="170"/>
    <s v="Expent  cost for stage 2"/>
    <d v="2026-01-21T00:00:00"/>
    <s v="PR2526-04400"/>
    <s v="PO2526-06291"/>
    <d v="2026-01-29T00:00:00"/>
    <n v="30"/>
    <s v="SFST81000050"/>
    <n v="1"/>
    <s v="ถุงกระสอบตัด บรรจุ 1000 KG ถุงบิ๊กแบ็ก ถุงจัมโบ้ เปิดก้นถุงได้"/>
    <n v="30"/>
    <s v="PCS."/>
    <n v="380"/>
    <n v="11400"/>
    <m/>
    <n v="11400"/>
    <m/>
    <m/>
    <m/>
    <n v="0"/>
    <s v="V1000729 - BN SUPPLY 1991 CO., LTD."/>
    <x v="1"/>
    <s v="GRN2526-0007834"/>
    <d v="2026-02-06T00:00:00"/>
    <m/>
    <n v="8"/>
    <s v="Ontime"/>
    <s v="MN"/>
    <m/>
  </r>
  <r>
    <n v="171"/>
    <s v="Expent  cost for stage 2"/>
    <d v="2026-01-23T00:00:00"/>
    <s v="PR2526-04467 "/>
    <s v="PO2526-06332"/>
    <m/>
    <m/>
    <s v="SFST81000018"/>
    <n v="1"/>
    <s v="BOI operating costs for a mash potato MC"/>
    <n v="1"/>
    <s v="JOB."/>
    <n v="6000"/>
    <n v="6000"/>
    <m/>
    <m/>
    <m/>
    <m/>
    <m/>
    <n v="6000"/>
    <s v="V1000782 - Forefront Foodtech Co.,Ltd."/>
    <x v="0"/>
    <m/>
    <m/>
    <m/>
    <s v=""/>
    <s v="Ontime"/>
    <s v="PD"/>
    <m/>
  </r>
  <r>
    <n v="172"/>
    <s v="Expent  cost for stage 2"/>
    <d v="2026-01-30T00:00:00"/>
    <s v="PR2526-04577"/>
    <s v="PO2526-06404 "/>
    <m/>
    <m/>
    <s v="SFST81000050"/>
    <n v="1"/>
    <s v="Sodium Hypochlorite 10%"/>
    <n v="1000"/>
    <s v="KG."/>
    <n v="8.5"/>
    <n v="8500"/>
    <m/>
    <m/>
    <m/>
    <m/>
    <m/>
    <n v="8500"/>
    <s v="V1000953 - GK FINECHEM CO., LTD."/>
    <x v="0"/>
    <m/>
    <m/>
    <m/>
    <s v=""/>
    <s v="Ontime"/>
    <s v="MN"/>
    <m/>
  </r>
  <r>
    <n v="173"/>
    <s v="Expent  cost for stage 2"/>
    <d v="2026-01-30T00:00:00"/>
    <s v="PR2526-04577"/>
    <s v="PO2526-06404 "/>
    <m/>
    <m/>
    <s v="SFST81000050"/>
    <n v="2"/>
    <s v="Sodium Hypochlorite 10%"/>
    <n v="1000"/>
    <s v="KG."/>
    <n v="5.5"/>
    <n v="5500"/>
    <m/>
    <m/>
    <m/>
    <m/>
    <m/>
    <n v="5500"/>
    <s v="V1000953 - GK FINECHEM CO., LTD."/>
    <x v="0"/>
    <m/>
    <m/>
    <m/>
    <s v=""/>
    <s v="Ontime"/>
    <s v="MN"/>
    <m/>
  </r>
  <r>
    <n v="174"/>
    <s v="Expent  cost for stage 2"/>
    <d v="2026-01-30T00:00:00"/>
    <s v="PR2526-04577"/>
    <s v="PO2526-06404 "/>
    <m/>
    <m/>
    <s v="SFST81000050"/>
    <n v="3"/>
    <s v="Kuriverter N-501"/>
    <n v="25"/>
    <s v="KG."/>
    <n v="220"/>
    <n v="5500"/>
    <m/>
    <m/>
    <m/>
    <m/>
    <m/>
    <n v="5500"/>
    <s v="V1000953 - GK FINECHEM CO., LTD."/>
    <x v="0"/>
    <m/>
    <m/>
    <m/>
    <s v=""/>
    <s v="Ontime"/>
    <s v="MN"/>
    <m/>
  </r>
  <r>
    <n v="175"/>
    <s v="Expent  cost for stage 2"/>
    <d v="2026-01-30T00:00:00"/>
    <s v="PR2526-04577"/>
    <s v="PO2526-06404 "/>
    <m/>
    <m/>
    <s v="SFST81000050"/>
    <n v="4"/>
    <s v="Kuriverter N-101"/>
    <n v="25"/>
    <s v="KG."/>
    <n v="180"/>
    <n v="4500"/>
    <m/>
    <m/>
    <m/>
    <m/>
    <m/>
    <n v="4500"/>
    <s v="V1000953 - GK FINECHEM CO., LTD."/>
    <x v="0"/>
    <m/>
    <m/>
    <m/>
    <s v=""/>
    <s v="Ontime"/>
    <s v="MN"/>
    <m/>
  </r>
  <r>
    <n v="176"/>
    <s v="CAPEX  (Budget)"/>
    <d v="2026-01-30T00:00:00"/>
    <s v="PR2526-04580"/>
    <m/>
    <m/>
    <m/>
    <s v="SFST82000016"/>
    <n v="1"/>
    <s v="Brand: AIMI_x000a_Material: Stainless 304_x000a_Power Supply 220V 50HZ 240W_x000a_Air supply ≥ 6kg/cm² (0.4m³/min)_x000a_Carton size L200-500 x W150-400 x H120-400mm_x000a_Speed 10-12 cases/min_x000a_Tape W48-75mm x 900yard (paper core) 75mm_x000a_Side Tape Length 50-70 mm_x000a_Carton storage 60-80 (pcs)_x000a_Table Height ≥ 600mm_x000a_Machine Size L1900×W2080xH1492mm_x000a_Machine Weight 400Kg"/>
    <n v="1"/>
    <s v="JOB."/>
    <n v="408500"/>
    <n v="408500"/>
    <m/>
    <m/>
    <m/>
    <m/>
    <m/>
    <n v="408500"/>
    <m/>
    <x v="0"/>
    <m/>
    <m/>
    <m/>
    <s v=""/>
    <s v="Ontime"/>
    <s v="IT"/>
    <m/>
  </r>
  <r>
    <n v="177"/>
    <s v="CAPEX  (Budget)"/>
    <d v="2026-01-30T00:00:00"/>
    <s v="PR2526-04580"/>
    <m/>
    <m/>
    <m/>
    <s v="SFST82000016"/>
    <n v="2"/>
    <s v="ชุดต่อระบบลม ตัวล็อคชนิดเฟอรูล S304 ท่อลมออก 8 mm + ท่อลม 8mm*10M (ไม่คิดมูลค่า เฉพาะชุดนี้เท่านั้น)_x000a__x000a_ค่าบริการเคลื่อนย้ายและติดตั้งเครื่องจากอาคารใหม่ไป_x000a__x000a_อาคารเดิม โดยรถ 6 ล้อ แบบเปิดข้างและท้ายแบบลิฟต์ปรับ ระดับได้ พร้อมแฮนด์ลิฟต์"/>
    <n v="1"/>
    <s v="JOB."/>
    <n v="7500"/>
    <n v="7500"/>
    <m/>
    <m/>
    <m/>
    <m/>
    <m/>
    <n v="7500"/>
    <m/>
    <x v="0"/>
    <m/>
    <m/>
    <m/>
    <s v=""/>
    <s v="Ontime"/>
    <s v="IT"/>
    <m/>
  </r>
  <r>
    <n v="178"/>
    <s v="Expent  cost"/>
    <d v="2026-02-04T00:00:00"/>
    <s v="PR2526-04647"/>
    <s v="PO2526-06517"/>
    <m/>
    <m/>
    <s v="SFST81000050"/>
    <n v="1"/>
    <s v="หน้ากากเต็มหน้า Honeywell รุ่น RU65001 เบอร์ M"/>
    <n v="2"/>
    <s v="PCS."/>
    <n v="2600"/>
    <n v="5200"/>
    <m/>
    <m/>
    <m/>
    <m/>
    <m/>
    <n v="5200"/>
    <s v="V1000224 - PHOL DHANYA PUBLIC CO.,LTD."/>
    <x v="0"/>
    <m/>
    <m/>
    <m/>
    <s v=""/>
    <s v="Ontime"/>
    <s v="Safety"/>
    <m/>
  </r>
  <r>
    <n v="179"/>
    <s v="Expent  cost"/>
    <d v="2026-02-04T00:00:00"/>
    <s v="PR2526-04647"/>
    <s v="PO2526-06517"/>
    <m/>
    <m/>
    <s v="SFST81000050"/>
    <n v="2"/>
    <s v="ตลับกรอง NORTH สำหรับสาร Ammonia และ Methylamine"/>
    <n v="4"/>
    <s v="PCS."/>
    <n v="450"/>
    <n v="1800"/>
    <m/>
    <m/>
    <m/>
    <m/>
    <m/>
    <n v="1800"/>
    <s v="V1000224 - PHOL DHANYA PUBLIC CO.,LTD."/>
    <x v="0"/>
    <m/>
    <m/>
    <m/>
    <s v=""/>
    <s v="Ontime"/>
    <s v="Safety"/>
    <m/>
  </r>
  <r>
    <n v="180"/>
    <s v="Expent  cost"/>
    <d v="2026-02-04T00:00:00"/>
    <s v="PR2526-04647"/>
    <s v="PO2526-06518"/>
    <m/>
    <m/>
    <s v="SFST81000050"/>
    <n v="3"/>
    <s v="ชุดป้องกันสารเคมี กันฝุ่น Best Safe รุ่น Chem C Size XL"/>
    <n v="2"/>
    <s v="PCS."/>
    <n v="750"/>
    <n v="1500"/>
    <m/>
    <m/>
    <m/>
    <m/>
    <m/>
    <n v="1500"/>
    <s v="V1000556 - Team Safety Sales Co., Ltd."/>
    <x v="0"/>
    <m/>
    <m/>
    <m/>
    <s v=""/>
    <s v="Ontime"/>
    <s v="Safety"/>
    <m/>
  </r>
  <r>
    <n v="181"/>
    <s v="Expent  cost"/>
    <d v="2026-02-04T00:00:00"/>
    <s v="PR2526-04647"/>
    <s v="PO2526-06518"/>
    <m/>
    <m/>
    <s v="SFST81000050"/>
    <n v="4"/>
    <s v="ชุด PPE เกรดการแพทย์ ป้องกันเชื้อโรคใช้ได้ทั้งแพทย์และ กันสารเคมี_x000a_- Size L = 4_x000a_- Size XL = 4"/>
    <n v="8"/>
    <s v="PCS."/>
    <n v="90"/>
    <n v="720"/>
    <m/>
    <m/>
    <m/>
    <m/>
    <m/>
    <n v="720"/>
    <s v="V1000556 - Team Safety Sales Co., Ltd."/>
    <x v="0"/>
    <m/>
    <m/>
    <m/>
    <s v=""/>
    <s v="Ontime"/>
    <s v="Safety"/>
    <m/>
  </r>
  <r>
    <n v="182"/>
    <s v="Expent  cost"/>
    <d v="2026-02-04T00:00:00"/>
    <s v="PR2526-04649"/>
    <m/>
    <m/>
    <m/>
    <s v="SFST81000050"/>
    <n v="1"/>
    <s v="เสื้อรุ่น Overcoat สีกรมท่า ใย 300G. สาหรับความเย็น -6°C ถึง -20°C_x000a_- Size M"/>
    <n v="4"/>
    <s v="PCS."/>
    <n v="2730"/>
    <n v="10920"/>
    <m/>
    <m/>
    <m/>
    <m/>
    <m/>
    <n v="10920"/>
    <s v="V1000975 - PNT INTERNATIONAL COMPANY LIMITED"/>
    <x v="0"/>
    <m/>
    <m/>
    <m/>
    <s v=""/>
    <s v="Ontime"/>
    <s v="Safety"/>
    <m/>
  </r>
  <r>
    <n v="183"/>
    <s v="Expent  cost"/>
    <d v="2026-02-04T00:00:00"/>
    <s v="PR2526-04649"/>
    <m/>
    <m/>
    <m/>
    <s v="SFST81000050"/>
    <n v="2"/>
    <s v="เสื้อรุ่น Overcoat สีกรมท่า ใย 300G. สาหรับความเย็น -6°C ถึง -20°C_x000a_- Size L"/>
    <n v="6"/>
    <s v="PCS."/>
    <n v="2860"/>
    <n v="17160"/>
    <m/>
    <m/>
    <m/>
    <m/>
    <m/>
    <n v="17160"/>
    <s v="V1000975 - PNT INTERNATIONAL COMPANY LIMITED"/>
    <x v="0"/>
    <m/>
    <m/>
    <m/>
    <s v=""/>
    <s v="Ontime"/>
    <s v="Safety"/>
    <m/>
  </r>
  <r>
    <n v="184"/>
    <s v="Expent  cost"/>
    <d v="2026-02-04T00:00:00"/>
    <s v="PR2526-04649"/>
    <m/>
    <m/>
    <m/>
    <s v="SFST81000050"/>
    <n v="3"/>
    <s v="เสื้อรุ่น Overcoat สีกรมท่า ใย 300G. สาหรับความเย็น -6°C ถึง -20°C_x000a_- Size XL"/>
    <n v="8"/>
    <s v="PCS."/>
    <n v="3000"/>
    <n v="24000"/>
    <m/>
    <m/>
    <m/>
    <m/>
    <m/>
    <n v="24000"/>
    <s v="V1000975 - PNT INTERNATIONAL COMPANY LIMITED"/>
    <x v="0"/>
    <m/>
    <m/>
    <m/>
    <s v=""/>
    <s v="Ontime"/>
    <s v="Safety"/>
    <m/>
  </r>
  <r>
    <n v="185"/>
    <s v="Expent  cost"/>
    <d v="2026-02-06T00:00:00"/>
    <s v="PR2526-04702"/>
    <m/>
    <m/>
    <m/>
    <s v="SFST81000050"/>
    <n v="1"/>
    <s v="PAC B-50"/>
    <n v="10000"/>
    <s v="KG."/>
    <n v="6.9"/>
    <n v="69000"/>
    <m/>
    <m/>
    <m/>
    <m/>
    <m/>
    <n v="69000"/>
    <m/>
    <x v="0"/>
    <m/>
    <m/>
    <m/>
    <s v=""/>
    <s v="Ontime"/>
    <s v="MN"/>
    <m/>
  </r>
  <r>
    <n v="186"/>
    <s v="Expent  cost"/>
    <d v="2026-02-06T00:00:00"/>
    <s v="PR2526-04702"/>
    <m/>
    <m/>
    <m/>
    <s v="SFST81000050"/>
    <n v="2"/>
    <s v="CATIONIC POLYMER"/>
    <n v="105"/>
    <s v="KG."/>
    <n v="295"/>
    <n v="30975"/>
    <m/>
    <m/>
    <m/>
    <m/>
    <m/>
    <n v="30975"/>
    <m/>
    <x v="0"/>
    <m/>
    <m/>
    <m/>
    <s v=""/>
    <s v="Ontime"/>
    <s v="MN"/>
    <m/>
  </r>
  <r>
    <n v="187"/>
    <s v="Expent  cost"/>
    <d v="2026-02-06T00:00:00"/>
    <s v="PR2526-04702"/>
    <m/>
    <m/>
    <m/>
    <s v="SFST81000050"/>
    <n v="3"/>
    <s v="ANIONIC POLYMER"/>
    <n v="105"/>
    <s v="KG."/>
    <n v="235"/>
    <n v="24675"/>
    <m/>
    <m/>
    <m/>
    <m/>
    <m/>
    <n v="24675"/>
    <m/>
    <x v="0"/>
    <m/>
    <m/>
    <m/>
    <s v=""/>
    <s v="Ontime"/>
    <s v="MN"/>
    <m/>
  </r>
  <r>
    <n v="188"/>
    <s v="Expent  cost"/>
    <d v="2026-02-06T00:00:00"/>
    <s v="PR2526-04702"/>
    <m/>
    <m/>
    <m/>
    <s v="SFST81000050"/>
    <n v="4"/>
    <s v="ANTIFOAM"/>
    <n v="60"/>
    <s v="KG."/>
    <n v="195"/>
    <n v="11700"/>
    <m/>
    <m/>
    <m/>
    <m/>
    <m/>
    <n v="11700"/>
    <m/>
    <x v="0"/>
    <m/>
    <m/>
    <m/>
    <s v=""/>
    <s v="Ontime"/>
    <s v="MN"/>
    <m/>
  </r>
  <r>
    <n v="189"/>
    <s v="Expent  cost"/>
    <d v="2026-02-06T00:00:00"/>
    <s v="PR2526-04702"/>
    <m/>
    <m/>
    <m/>
    <s v="SFST81000050"/>
    <n v="5"/>
    <s v="SODIUM HYDROXIDE 50%"/>
    <n v="10000"/>
    <s v="KG."/>
    <n v="11.5"/>
    <n v="115000"/>
    <m/>
    <m/>
    <m/>
    <m/>
    <m/>
    <n v="115000"/>
    <m/>
    <x v="0"/>
    <m/>
    <m/>
    <m/>
    <s v=""/>
    <s v="Ontime"/>
    <s v="MN"/>
    <m/>
  </r>
  <r>
    <n v="190"/>
    <s v="Expent  cost"/>
    <d v="2026-02-06T00:00:00"/>
    <s v="PR2526-04703"/>
    <m/>
    <m/>
    <m/>
    <s v="SFST81000050"/>
    <n v="1"/>
    <s v="Lath Brush Green_x000a_size W50XTHK80(Slop)xTL250 mm_x000a_Fills: PP 0.8 mm_x000a_Body: Plastic Engineering"/>
    <n v="20"/>
    <s v="PCS."/>
    <n v="1309.5"/>
    <n v="26190"/>
    <m/>
    <m/>
    <m/>
    <m/>
    <m/>
    <n v="26190"/>
    <m/>
    <x v="0"/>
    <m/>
    <m/>
    <m/>
    <s v=""/>
    <s v="Ontime"/>
    <s v="MN"/>
    <m/>
  </r>
  <r>
    <n v="191"/>
    <s v="Expent  cost"/>
    <d v="2026-02-06T00:00:00"/>
    <s v="PR2526-04704"/>
    <m/>
    <m/>
    <m/>
    <s v="SFST81000050"/>
    <n v="1"/>
    <s v="Boiler Mate IS-102 ΤΗΝ"/>
    <n v="20"/>
    <s v="PCS."/>
    <n v="2100"/>
    <n v="42000"/>
    <m/>
    <m/>
    <m/>
    <m/>
    <m/>
    <n v="42000"/>
    <m/>
    <x v="0"/>
    <m/>
    <m/>
    <m/>
    <s v=""/>
    <s v="Ontime"/>
    <s v="MN"/>
    <m/>
  </r>
  <r>
    <n v="192"/>
    <s v="Expent  cost"/>
    <d v="2026-02-06T00:00:00"/>
    <s v="PR2526-04706"/>
    <m/>
    <m/>
    <m/>
    <s v="SFST82000016"/>
    <n v="1"/>
    <s v="OKU-D-OK-20BW10 พัดลมระบายอากาศ 20&quot; + ท่อ 10 เมตร"/>
    <n v="2"/>
    <s v="PCS."/>
    <n v="19500"/>
    <n v="39000"/>
    <m/>
    <m/>
    <m/>
    <m/>
    <m/>
    <n v="39000"/>
    <m/>
    <x v="0"/>
    <m/>
    <m/>
    <m/>
    <s v=""/>
    <s v="Ontime"/>
    <s v="Safety"/>
    <m/>
  </r>
  <r>
    <n v="193"/>
    <s v="CAPEX  (Budget)"/>
    <d v="2026-02-06T00:00:00"/>
    <s v="PR2526-04732"/>
    <m/>
    <m/>
    <m/>
    <s v="SFST82000016"/>
    <n v="1"/>
    <s v="เตรื่องชงกาแฟอัตโนมัติ ELE E7EC1-600P"/>
    <n v="1"/>
    <s v="EA."/>
    <n v="14009.35"/>
    <n v="14009.35"/>
    <m/>
    <m/>
    <m/>
    <m/>
    <m/>
    <n v="14009.35"/>
    <m/>
    <x v="0"/>
    <m/>
    <m/>
    <m/>
    <s v=""/>
    <s v="Ontime"/>
    <s v="WH "/>
    <m/>
  </r>
  <r>
    <n v="194"/>
    <m/>
    <m/>
    <m/>
    <m/>
    <m/>
    <m/>
    <m/>
    <m/>
    <m/>
    <m/>
    <m/>
    <e v="#DIV/0!"/>
    <m/>
    <m/>
    <n v="0"/>
    <m/>
    <m/>
    <m/>
    <n v="0"/>
    <m/>
    <x v="2"/>
    <m/>
    <m/>
    <m/>
    <s v=""/>
    <s v="Ontime"/>
    <m/>
    <m/>
  </r>
  <r>
    <n v="195"/>
    <m/>
    <m/>
    <m/>
    <m/>
    <m/>
    <m/>
    <m/>
    <m/>
    <m/>
    <m/>
    <m/>
    <e v="#DIV/0!"/>
    <m/>
    <m/>
    <n v="0"/>
    <m/>
    <m/>
    <m/>
    <n v="0"/>
    <m/>
    <x v="2"/>
    <m/>
    <m/>
    <m/>
    <s v=""/>
    <s v="Ontime"/>
    <m/>
    <m/>
  </r>
  <r>
    <n v="196"/>
    <m/>
    <m/>
    <m/>
    <m/>
    <m/>
    <m/>
    <m/>
    <m/>
    <m/>
    <m/>
    <m/>
    <e v="#DIV/0!"/>
    <m/>
    <m/>
    <n v="0"/>
    <m/>
    <m/>
    <m/>
    <n v="0"/>
    <m/>
    <x v="2"/>
    <m/>
    <m/>
    <m/>
    <s v=""/>
    <s v="Ontime"/>
    <m/>
    <m/>
  </r>
  <r>
    <n v="197"/>
    <m/>
    <m/>
    <m/>
    <m/>
    <m/>
    <m/>
    <m/>
    <m/>
    <m/>
    <m/>
    <m/>
    <e v="#DIV/0!"/>
    <m/>
    <m/>
    <n v="0"/>
    <m/>
    <m/>
    <m/>
    <n v="0"/>
    <m/>
    <x v="2"/>
    <m/>
    <m/>
    <m/>
    <s v=""/>
    <s v="Ontime"/>
    <m/>
    <m/>
  </r>
  <r>
    <n v="198"/>
    <m/>
    <m/>
    <m/>
    <m/>
    <m/>
    <m/>
    <m/>
    <m/>
    <m/>
    <m/>
    <m/>
    <e v="#DIV/0!"/>
    <m/>
    <m/>
    <n v="0"/>
    <m/>
    <m/>
    <m/>
    <n v="0"/>
    <m/>
    <x v="2"/>
    <m/>
    <m/>
    <m/>
    <s v=""/>
    <s v="Ontime"/>
    <m/>
    <m/>
  </r>
  <r>
    <n v="199"/>
    <m/>
    <m/>
    <m/>
    <m/>
    <m/>
    <m/>
    <m/>
    <m/>
    <m/>
    <m/>
    <m/>
    <e v="#DIV/0!"/>
    <m/>
    <m/>
    <n v="0"/>
    <m/>
    <m/>
    <m/>
    <n v="0"/>
    <m/>
    <x v="2"/>
    <m/>
    <m/>
    <m/>
    <s v=""/>
    <s v="Ontime"/>
    <m/>
    <m/>
  </r>
  <r>
    <n v="200"/>
    <m/>
    <m/>
    <m/>
    <m/>
    <m/>
    <m/>
    <m/>
    <m/>
    <m/>
    <m/>
    <m/>
    <e v="#DIV/0!"/>
    <m/>
    <m/>
    <n v="0"/>
    <m/>
    <m/>
    <m/>
    <n v="0"/>
    <m/>
    <x v="2"/>
    <m/>
    <m/>
    <m/>
    <s v=""/>
    <s v="Ontime"/>
    <m/>
    <m/>
  </r>
  <r>
    <n v="201"/>
    <m/>
    <m/>
    <m/>
    <m/>
    <m/>
    <m/>
    <m/>
    <m/>
    <m/>
    <m/>
    <m/>
    <e v="#DIV/0!"/>
    <m/>
    <m/>
    <n v="0"/>
    <m/>
    <m/>
    <m/>
    <n v="0"/>
    <m/>
    <x v="2"/>
    <m/>
    <m/>
    <m/>
    <s v=""/>
    <s v="Ontime"/>
    <m/>
    <m/>
  </r>
  <r>
    <n v="202"/>
    <m/>
    <m/>
    <m/>
    <m/>
    <m/>
    <m/>
    <m/>
    <m/>
    <m/>
    <m/>
    <m/>
    <e v="#DIV/0!"/>
    <m/>
    <m/>
    <n v="0"/>
    <m/>
    <m/>
    <m/>
    <n v="0"/>
    <m/>
    <x v="2"/>
    <m/>
    <m/>
    <m/>
    <s v=""/>
    <s v="Ontime"/>
    <m/>
    <m/>
  </r>
  <r>
    <n v="203"/>
    <m/>
    <m/>
    <m/>
    <m/>
    <m/>
    <m/>
    <m/>
    <m/>
    <m/>
    <m/>
    <m/>
    <e v="#DIV/0!"/>
    <m/>
    <m/>
    <n v="0"/>
    <m/>
    <m/>
    <m/>
    <n v="0"/>
    <m/>
    <x v="2"/>
    <m/>
    <m/>
    <m/>
    <s v=""/>
    <s v="Ontime"/>
    <m/>
    <m/>
  </r>
  <r>
    <n v="204"/>
    <m/>
    <m/>
    <m/>
    <m/>
    <m/>
    <m/>
    <m/>
    <m/>
    <m/>
    <m/>
    <m/>
    <e v="#DIV/0!"/>
    <m/>
    <m/>
    <n v="0"/>
    <m/>
    <m/>
    <m/>
    <n v="0"/>
    <m/>
    <x v="2"/>
    <m/>
    <m/>
    <m/>
    <s v=""/>
    <s v="Ontime"/>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D22384-ADF6-458F-91CD-AFE8BC12D876}"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PO Status" colHeaderCaption="Month">
  <location ref="A16:B20" firstHeaderRow="1" firstDataRow="1" firstDataCol="1"/>
  <pivotFields count="29">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64" showAll="0"/>
    <pivotField showAll="0"/>
    <pivotField axis="axisRow" showAll="0">
      <items count="19">
        <item m="1" x="14"/>
        <item m="1" x="17"/>
        <item m="1" x="15"/>
        <item x="1"/>
        <item m="1" x="16"/>
        <item m="1" x="5"/>
        <item x="0"/>
        <item x="2"/>
        <item m="1" x="8"/>
        <item m="1" x="7"/>
        <item m="1" x="12"/>
        <item m="1" x="13"/>
        <item m="1" x="6"/>
        <item m="1" x="4"/>
        <item m="1" x="11"/>
        <item m="1" x="9"/>
        <item m="1" x="10"/>
        <item m="1" x="3"/>
        <item t="default"/>
      </items>
    </pivotField>
    <pivotField showAll="0"/>
    <pivotField showAll="0"/>
    <pivotField showAll="0"/>
    <pivotField showAll="0"/>
    <pivotField showAll="0"/>
    <pivotField showAll="0"/>
    <pivotField showAll="0"/>
  </pivotFields>
  <rowFields count="1">
    <field x="21"/>
  </rowFields>
  <rowItems count="4">
    <i>
      <x v="3"/>
    </i>
    <i>
      <x v="6"/>
    </i>
    <i>
      <x v="7"/>
    </i>
    <i t="grand">
      <x/>
    </i>
  </rowItems>
  <colItems count="1">
    <i/>
  </colItems>
  <dataFields count="1">
    <dataField name="Count of Total price" fld="13" subtotal="count" baseField="12" baseItem="3"/>
  </dataFields>
  <formats count="6">
    <format dxfId="91">
      <pivotArea outline="0" collapsedLevelsAreSubtotals="1" fieldPosition="0"/>
    </format>
    <format dxfId="90">
      <pivotArea field="21" type="button" dataOnly="0" labelOnly="1" outline="0" axis="axisRow" fieldPosition="0"/>
    </format>
    <format dxfId="89">
      <pivotArea dataOnly="0" labelOnly="1" fieldPosition="0">
        <references count="1">
          <reference field="21" count="0"/>
        </references>
      </pivotArea>
    </format>
    <format dxfId="88">
      <pivotArea dataOnly="0" labelOnly="1" grandRow="1" outline="0" fieldPosition="0"/>
    </format>
    <format dxfId="87">
      <pivotArea dataOnly="0" labelOnly="1" grandCol="1" outline="0" fieldPosition="0"/>
    </format>
    <format dxfId="8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D9A37B-A870-40B1-BA27-52EA9596A754}"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PO Status" colHeaderCaption="Month">
  <location ref="A3:B7" firstHeaderRow="1" firstDataRow="1" firstDataCol="1"/>
  <pivotFields count="29">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64" showAll="0"/>
    <pivotField showAll="0"/>
    <pivotField axis="axisRow" showAll="0">
      <items count="19">
        <item m="1" x="14"/>
        <item m="1" x="17"/>
        <item m="1" x="15"/>
        <item x="1"/>
        <item m="1" x="16"/>
        <item m="1" x="5"/>
        <item x="0"/>
        <item x="2"/>
        <item m="1" x="8"/>
        <item m="1" x="7"/>
        <item m="1" x="12"/>
        <item m="1" x="13"/>
        <item m="1" x="6"/>
        <item m="1" x="4"/>
        <item m="1" x="11"/>
        <item m="1" x="9"/>
        <item m="1" x="10"/>
        <item m="1" x="3"/>
        <item t="default"/>
      </items>
    </pivotField>
    <pivotField showAll="0"/>
    <pivotField showAll="0"/>
    <pivotField showAll="0"/>
    <pivotField showAll="0"/>
    <pivotField showAll="0"/>
    <pivotField showAll="0"/>
    <pivotField showAll="0"/>
  </pivotFields>
  <rowFields count="1">
    <field x="21"/>
  </rowFields>
  <rowItems count="4">
    <i>
      <x v="3"/>
    </i>
    <i>
      <x v="6"/>
    </i>
    <i>
      <x v="7"/>
    </i>
    <i t="grand">
      <x/>
    </i>
  </rowItems>
  <colItems count="1">
    <i/>
  </colItems>
  <dataFields count="1">
    <dataField name="Ref. Date crate PR in DM365" fld="13" baseField="12" baseItem="0" numFmtId="168"/>
  </dataFields>
  <formats count="6">
    <format dxfId="97">
      <pivotArea outline="0" collapsedLevelsAreSubtotals="1" fieldPosition="0"/>
    </format>
    <format dxfId="96">
      <pivotArea field="21" type="button" dataOnly="0" labelOnly="1" outline="0" axis="axisRow" fieldPosition="0"/>
    </format>
    <format dxfId="95">
      <pivotArea dataOnly="0" labelOnly="1" fieldPosition="0">
        <references count="1">
          <reference field="21" count="0"/>
        </references>
      </pivotArea>
    </format>
    <format dxfId="94">
      <pivotArea dataOnly="0" labelOnly="1" grandRow="1" outline="0" fieldPosition="0"/>
    </format>
    <format dxfId="93">
      <pivotArea dataOnly="0" labelOnly="1" grandCol="1" outline="0" fieldPosition="0"/>
    </format>
    <format dxfId="9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152080-6B76-486F-AC21-065358442C15}" name="PivotTable2"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5:I247" firstHeaderRow="1" firstDataRow="2" firstDataCol="1" rowPageCount="2" colPageCount="1"/>
  <pivotFields count="6">
    <pivotField dataField="1" subtotalTop="0" showAll="0" defaultSubtotal="0"/>
    <pivotField axis="axisRow" allDrilled="1" showAll="0" dataSourceSort="1"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s>
    </pivotField>
    <pivotField axis="axisCol" allDrilled="1" subtotalTop="0" showAll="0" dataSourceSort="1" defaultSubtotal="0" defaultAttributeDrillState="1">
      <items count="7">
        <item x="0"/>
        <item x="1"/>
        <item x="2"/>
        <item x="3"/>
        <item x="4"/>
        <item x="5"/>
        <item x="6"/>
      </items>
    </pivotField>
  </pivotFields>
  <rowFields count="2">
    <field x="1"/>
    <field x="4"/>
  </rowFields>
  <rowItems count="241">
    <i>
      <x/>
    </i>
    <i r="1">
      <x/>
    </i>
    <i r="1">
      <x v="1"/>
    </i>
    <i>
      <x v="1"/>
    </i>
    <i r="1">
      <x v="2"/>
    </i>
    <i r="1">
      <x v="3"/>
    </i>
    <i r="1">
      <x v="4"/>
    </i>
    <i r="1">
      <x v="5"/>
    </i>
    <i r="1">
      <x v="6"/>
    </i>
    <i r="1">
      <x v="7"/>
    </i>
    <i>
      <x v="2"/>
    </i>
    <i r="1">
      <x v="8"/>
    </i>
    <i r="1">
      <x v="9"/>
    </i>
    <i r="1">
      <x v="10"/>
    </i>
    <i r="1">
      <x v="11"/>
    </i>
    <i r="1">
      <x v="12"/>
    </i>
    <i>
      <x v="3"/>
    </i>
    <i r="1">
      <x v="13"/>
    </i>
    <i r="1">
      <x v="14"/>
    </i>
    <i r="1">
      <x v="15"/>
    </i>
    <i r="1">
      <x v="16"/>
    </i>
    <i>
      <x v="4"/>
    </i>
    <i r="1">
      <x v="17"/>
    </i>
    <i r="1">
      <x v="18"/>
    </i>
    <i r="1">
      <x v="19"/>
    </i>
    <i r="1">
      <x v="20"/>
    </i>
    <i r="1">
      <x v="21"/>
    </i>
    <i r="1">
      <x v="22"/>
    </i>
    <i r="1">
      <x v="23"/>
    </i>
    <i>
      <x v="5"/>
    </i>
    <i r="1">
      <x v="24"/>
    </i>
    <i>
      <x v="6"/>
    </i>
    <i r="1">
      <x v="25"/>
    </i>
    <i>
      <x v="7"/>
    </i>
    <i r="1">
      <x v="26"/>
    </i>
    <i r="1">
      <x v="27"/>
    </i>
    <i r="1">
      <x v="28"/>
    </i>
    <i r="1">
      <x v="29"/>
    </i>
    <i r="1">
      <x v="30"/>
    </i>
    <i r="1">
      <x v="31"/>
    </i>
    <i r="1">
      <x v="32"/>
    </i>
    <i r="1">
      <x v="33"/>
    </i>
    <i r="1">
      <x v="34"/>
    </i>
    <i r="1">
      <x v="35"/>
    </i>
    <i>
      <x v="8"/>
    </i>
    <i r="1">
      <x v="36"/>
    </i>
    <i r="1">
      <x v="37"/>
    </i>
    <i r="1">
      <x v="38"/>
    </i>
    <i r="1">
      <x v="39"/>
    </i>
    <i r="1">
      <x v="40"/>
    </i>
    <i r="1">
      <x v="41"/>
    </i>
    <i r="1">
      <x v="42"/>
    </i>
    <i r="1">
      <x v="43"/>
    </i>
    <i r="1">
      <x v="44"/>
    </i>
    <i>
      <x v="9"/>
    </i>
    <i r="1">
      <x v="45"/>
    </i>
    <i>
      <x v="10"/>
    </i>
    <i r="1">
      <x v="46"/>
    </i>
    <i r="1">
      <x v="47"/>
    </i>
    <i r="1">
      <x v="48"/>
    </i>
    <i r="1">
      <x v="49"/>
    </i>
    <i>
      <x v="11"/>
    </i>
    <i r="1">
      <x v="50"/>
    </i>
    <i r="1">
      <x v="51"/>
    </i>
    <i r="1">
      <x v="52"/>
    </i>
    <i r="1">
      <x v="53"/>
    </i>
    <i r="1">
      <x v="54"/>
    </i>
    <i r="1">
      <x v="55"/>
    </i>
    <i r="1">
      <x v="56"/>
    </i>
    <i r="1">
      <x v="57"/>
    </i>
    <i r="1">
      <x v="58"/>
    </i>
    <i>
      <x v="12"/>
    </i>
    <i r="1">
      <x v="59"/>
    </i>
    <i r="1">
      <x v="60"/>
    </i>
    <i r="1">
      <x v="61"/>
    </i>
    <i r="1">
      <x v="62"/>
    </i>
    <i r="1">
      <x v="63"/>
    </i>
    <i r="1">
      <x v="64"/>
    </i>
    <i>
      <x v="13"/>
    </i>
    <i r="1">
      <x v="65"/>
    </i>
    <i r="1">
      <x v="66"/>
    </i>
    <i r="1">
      <x v="67"/>
    </i>
    <i r="1">
      <x v="68"/>
    </i>
    <i r="1">
      <x v="69"/>
    </i>
    <i r="1">
      <x v="70"/>
    </i>
    <i r="1">
      <x v="71"/>
    </i>
    <i r="1">
      <x v="72"/>
    </i>
    <i r="1">
      <x v="73"/>
    </i>
    <i r="1">
      <x v="74"/>
    </i>
    <i r="1">
      <x v="75"/>
    </i>
    <i r="1">
      <x v="76"/>
    </i>
    <i r="1">
      <x v="77"/>
    </i>
    <i r="1">
      <x v="78"/>
    </i>
    <i r="1">
      <x v="79"/>
    </i>
    <i r="1">
      <x v="80"/>
    </i>
    <i r="1">
      <x v="81"/>
    </i>
    <i r="1">
      <x v="82"/>
    </i>
    <i>
      <x v="14"/>
    </i>
    <i r="1">
      <x v="83"/>
    </i>
    <i r="1">
      <x v="84"/>
    </i>
    <i r="1">
      <x v="85"/>
    </i>
    <i>
      <x v="15"/>
    </i>
    <i r="1">
      <x v="86"/>
    </i>
    <i>
      <x v="16"/>
    </i>
    <i r="1">
      <x v="87"/>
    </i>
    <i>
      <x v="17"/>
    </i>
    <i r="1">
      <x v="88"/>
    </i>
    <i>
      <x v="18"/>
    </i>
    <i r="1">
      <x v="89"/>
    </i>
    <i r="1">
      <x v="90"/>
    </i>
    <i>
      <x v="19"/>
    </i>
    <i r="1">
      <x v="91"/>
    </i>
    <i>
      <x v="20"/>
    </i>
    <i r="1">
      <x v="92"/>
    </i>
    <i>
      <x v="21"/>
    </i>
    <i r="1">
      <x v="93"/>
    </i>
    <i r="1">
      <x v="94"/>
    </i>
    <i>
      <x v="22"/>
    </i>
    <i r="1">
      <x v="95"/>
    </i>
    <i r="1">
      <x v="96"/>
    </i>
    <i r="1">
      <x v="97"/>
    </i>
    <i r="1">
      <x v="98"/>
    </i>
    <i r="1">
      <x v="99"/>
    </i>
    <i r="1">
      <x v="100"/>
    </i>
    <i r="1">
      <x v="101"/>
    </i>
    <i r="1">
      <x v="102"/>
    </i>
    <i r="1">
      <x v="103"/>
    </i>
    <i r="1">
      <x v="104"/>
    </i>
    <i r="1">
      <x v="105"/>
    </i>
    <i>
      <x v="23"/>
    </i>
    <i r="1">
      <x v="106"/>
    </i>
    <i r="1">
      <x v="107"/>
    </i>
    <i>
      <x v="24"/>
    </i>
    <i r="1">
      <x v="108"/>
    </i>
    <i>
      <x v="25"/>
    </i>
    <i r="1">
      <x v="109"/>
    </i>
    <i r="1">
      <x v="110"/>
    </i>
    <i r="1">
      <x v="111"/>
    </i>
    <i r="1">
      <x v="112"/>
    </i>
    <i r="1">
      <x v="113"/>
    </i>
    <i r="1">
      <x v="114"/>
    </i>
    <i r="1">
      <x v="115"/>
    </i>
    <i r="1">
      <x v="116"/>
    </i>
    <i r="1">
      <x v="117"/>
    </i>
    <i r="1">
      <x v="118"/>
    </i>
    <i r="1">
      <x v="119"/>
    </i>
    <i r="1">
      <x v="120"/>
    </i>
    <i r="1">
      <x v="121"/>
    </i>
    <i r="1">
      <x v="122"/>
    </i>
    <i>
      <x v="26"/>
    </i>
    <i r="1">
      <x v="123"/>
    </i>
    <i r="1">
      <x v="124"/>
    </i>
    <i r="1">
      <x v="125"/>
    </i>
    <i r="1">
      <x v="126"/>
    </i>
    <i>
      <x v="27"/>
    </i>
    <i r="1">
      <x v="127"/>
    </i>
    <i r="1">
      <x v="128"/>
    </i>
    <i r="1">
      <x v="129"/>
    </i>
    <i r="1">
      <x v="130"/>
    </i>
    <i r="1">
      <x v="131"/>
    </i>
    <i r="1">
      <x v="132"/>
    </i>
    <i r="1">
      <x v="133"/>
    </i>
    <i r="1">
      <x v="134"/>
    </i>
    <i r="1">
      <x v="135"/>
    </i>
    <i r="1">
      <x v="136"/>
    </i>
    <i r="1">
      <x v="137"/>
    </i>
    <i r="1">
      <x v="138"/>
    </i>
    <i r="1">
      <x v="139"/>
    </i>
    <i r="1">
      <x v="140"/>
    </i>
    <i r="1">
      <x v="141"/>
    </i>
    <i r="1">
      <x v="142"/>
    </i>
    <i r="1">
      <x v="143"/>
    </i>
    <i>
      <x v="28"/>
    </i>
    <i r="1">
      <x v="144"/>
    </i>
    <i>
      <x v="29"/>
    </i>
    <i r="1">
      <x v="145"/>
    </i>
    <i r="1">
      <x v="146"/>
    </i>
    <i>
      <x v="30"/>
    </i>
    <i r="1">
      <x v="147"/>
    </i>
    <i r="1">
      <x v="148"/>
    </i>
    <i r="1">
      <x v="149"/>
    </i>
    <i r="1">
      <x v="150"/>
    </i>
    <i>
      <x v="31"/>
    </i>
    <i r="1">
      <x v="151"/>
    </i>
    <i r="1">
      <x v="152"/>
    </i>
    <i r="1">
      <x v="153"/>
    </i>
    <i r="1">
      <x v="154"/>
    </i>
    <i>
      <x v="32"/>
    </i>
    <i r="1">
      <x v="155"/>
    </i>
    <i r="1">
      <x v="156"/>
    </i>
    <i>
      <x v="33"/>
    </i>
    <i r="1">
      <x v="144"/>
    </i>
    <i>
      <x v="34"/>
    </i>
    <i r="1">
      <x v="157"/>
    </i>
    <i r="1">
      <x v="158"/>
    </i>
    <i>
      <x v="35"/>
    </i>
    <i r="1">
      <x v="26"/>
    </i>
    <i r="1">
      <x v="27"/>
    </i>
    <i r="1">
      <x v="28"/>
    </i>
    <i r="1">
      <x v="159"/>
    </i>
    <i r="1">
      <x v="31"/>
    </i>
    <i r="1">
      <x v="160"/>
    </i>
    <i>
      <x v="36"/>
    </i>
    <i r="1">
      <x v="24"/>
    </i>
    <i>
      <x v="37"/>
    </i>
    <i r="1">
      <x v="161"/>
    </i>
    <i>
      <x v="38"/>
    </i>
    <i r="1">
      <x v="162"/>
    </i>
    <i>
      <x v="39"/>
    </i>
    <i r="1">
      <x v="163"/>
    </i>
    <i>
      <x v="40"/>
    </i>
    <i r="1">
      <x v="164"/>
    </i>
    <i r="1">
      <x v="165"/>
    </i>
    <i r="1">
      <x v="166"/>
    </i>
    <i>
      <x v="41"/>
    </i>
    <i r="1">
      <x v="167"/>
    </i>
    <i r="1">
      <x v="168"/>
    </i>
    <i>
      <x v="42"/>
    </i>
    <i r="1">
      <x v="169"/>
    </i>
    <i r="1">
      <x v="170"/>
    </i>
    <i r="1">
      <x v="171"/>
    </i>
    <i r="1">
      <x v="172"/>
    </i>
    <i>
      <x v="43"/>
    </i>
    <i r="1">
      <x v="173"/>
    </i>
    <i r="1">
      <x v="174"/>
    </i>
    <i r="1">
      <x v="175"/>
    </i>
    <i>
      <x v="44"/>
    </i>
    <i r="1">
      <x v="176"/>
    </i>
    <i r="1">
      <x v="177"/>
    </i>
    <i r="1">
      <x v="178"/>
    </i>
    <i r="1">
      <x v="154"/>
    </i>
    <i r="1">
      <x v="179"/>
    </i>
    <i>
      <x v="45"/>
    </i>
    <i r="1">
      <x v="180"/>
    </i>
    <i>
      <x v="46"/>
    </i>
    <i r="1">
      <x v="181"/>
    </i>
    <i>
      <x v="47"/>
    </i>
    <i r="1">
      <x v="182"/>
    </i>
    <i>
      <x v="48"/>
    </i>
    <i r="1">
      <x v="183"/>
    </i>
    <i t="grand">
      <x/>
    </i>
  </rowItems>
  <colFields count="1">
    <field x="5"/>
  </colFields>
  <colItems count="8">
    <i>
      <x/>
    </i>
    <i>
      <x v="1"/>
    </i>
    <i>
      <x v="2"/>
    </i>
    <i>
      <x v="3"/>
    </i>
    <i>
      <x v="4"/>
    </i>
    <i>
      <x v="5"/>
    </i>
    <i>
      <x v="6"/>
    </i>
    <i t="grand">
      <x/>
    </i>
  </colItems>
  <pageFields count="2">
    <pageField fld="2" hier="2" name="[RawDataGenPO].[DMY Create PR].[All]" cap="All"/>
    <pageField fld="3" hier="4" name="[RawDataGenPO].[PO No.].[All]" cap="All"/>
  </pageFields>
  <dataFields count="1">
    <dataField name="Sum of Total price" fld="0" baseField="0" baseItem="0"/>
  </dataFields>
  <formats count="49">
    <format dxfId="85">
      <pivotArea outline="0" collapsedLevelsAreSubtotals="1" fieldPosition="0"/>
    </format>
    <format dxfId="84">
      <pivotArea type="all" dataOnly="0" outline="0" fieldPosition="0"/>
    </format>
    <format dxfId="83">
      <pivotArea outline="0" collapsedLevelsAreSubtotals="1" fieldPosition="0"/>
    </format>
    <format dxfId="82">
      <pivotArea field="1" type="button" dataOnly="0" labelOnly="1" outline="0" axis="axisRow" fieldPosition="0"/>
    </format>
    <format dxfId="81">
      <pivotArea dataOnly="0" labelOnly="1" fieldPosition="0">
        <references count="1">
          <reference field="1" count="0"/>
        </references>
      </pivotArea>
    </format>
    <format dxfId="80">
      <pivotArea dataOnly="0" labelOnly="1" grandRow="1" outline="0" fieldPosition="0"/>
    </format>
    <format dxfId="79">
      <pivotArea dataOnly="0" labelOnly="1" fieldPosition="0">
        <references count="2">
          <reference field="1" count="1" selected="0">
            <x v="0"/>
          </reference>
          <reference field="4" count="2">
            <x v="0"/>
            <x v="1"/>
          </reference>
        </references>
      </pivotArea>
    </format>
    <format dxfId="78">
      <pivotArea dataOnly="0" labelOnly="1" fieldPosition="0">
        <references count="2">
          <reference field="1" count="1" selected="0">
            <x v="2"/>
          </reference>
          <reference field="4" count="5">
            <x v="8"/>
            <x v="9"/>
            <x v="10"/>
            <x v="11"/>
            <x v="12"/>
          </reference>
        </references>
      </pivotArea>
    </format>
    <format dxfId="77">
      <pivotArea dataOnly="0" labelOnly="1" fieldPosition="0">
        <references count="2">
          <reference field="1" count="1" selected="0">
            <x v="3"/>
          </reference>
          <reference field="4" count="4">
            <x v="13"/>
            <x v="14"/>
            <x v="15"/>
            <x v="16"/>
          </reference>
        </references>
      </pivotArea>
    </format>
    <format dxfId="76">
      <pivotArea dataOnly="0" labelOnly="1" fieldPosition="0">
        <references count="2">
          <reference field="1" count="1" selected="0">
            <x v="4"/>
          </reference>
          <reference field="4" count="7">
            <x v="17"/>
            <x v="18"/>
            <x v="19"/>
            <x v="20"/>
            <x v="21"/>
            <x v="22"/>
            <x v="23"/>
          </reference>
        </references>
      </pivotArea>
    </format>
    <format dxfId="75">
      <pivotArea dataOnly="0" labelOnly="1" fieldPosition="0">
        <references count="2">
          <reference field="1" count="1" selected="0">
            <x v="5"/>
          </reference>
          <reference field="4" count="1">
            <x v="24"/>
          </reference>
        </references>
      </pivotArea>
    </format>
    <format dxfId="74">
      <pivotArea dataOnly="0" labelOnly="1" fieldPosition="0">
        <references count="2">
          <reference field="1" count="1" selected="0">
            <x v="6"/>
          </reference>
          <reference field="4" count="1">
            <x v="25"/>
          </reference>
        </references>
      </pivotArea>
    </format>
    <format dxfId="73">
      <pivotArea dataOnly="0" labelOnly="1" fieldPosition="0">
        <references count="2">
          <reference field="1" count="1" selected="0">
            <x v="7"/>
          </reference>
          <reference field="4" count="10">
            <x v="26"/>
            <x v="27"/>
            <x v="28"/>
            <x v="29"/>
            <x v="30"/>
            <x v="31"/>
            <x v="32"/>
            <x v="33"/>
            <x v="34"/>
            <x v="35"/>
          </reference>
        </references>
      </pivotArea>
    </format>
    <format dxfId="72">
      <pivotArea dataOnly="0" labelOnly="1" fieldPosition="0">
        <references count="2">
          <reference field="1" count="1" selected="0">
            <x v="8"/>
          </reference>
          <reference field="4" count="5">
            <x v="38"/>
            <x v="39"/>
            <x v="40"/>
            <x v="41"/>
            <x v="42"/>
          </reference>
        </references>
      </pivotArea>
    </format>
    <format dxfId="71">
      <pivotArea dataOnly="0" labelOnly="1" outline="0" axis="axisValues" fieldPosition="0"/>
    </format>
    <format dxfId="70">
      <pivotArea type="all" dataOnly="0" outline="0" fieldPosition="0"/>
    </format>
    <format dxfId="69">
      <pivotArea outline="0" collapsedLevelsAreSubtotals="1" fieldPosition="0"/>
    </format>
    <format dxfId="68">
      <pivotArea field="1" type="button" dataOnly="0" labelOnly="1" outline="0" axis="axisRow" fieldPosition="0"/>
    </format>
    <format dxfId="67">
      <pivotArea dataOnly="0" labelOnly="1" fieldPosition="0">
        <references count="1">
          <reference field="1" count="0"/>
        </references>
      </pivotArea>
    </format>
    <format dxfId="66">
      <pivotArea dataOnly="0" labelOnly="1" grandRow="1" outline="0" fieldPosition="0"/>
    </format>
    <format dxfId="65">
      <pivotArea dataOnly="0" labelOnly="1" fieldPosition="0">
        <references count="2">
          <reference field="1" count="1" selected="0">
            <x v="0"/>
          </reference>
          <reference field="4" count="2">
            <x v="0"/>
            <x v="1"/>
          </reference>
        </references>
      </pivotArea>
    </format>
    <format dxfId="64">
      <pivotArea dataOnly="0" labelOnly="1" fieldPosition="0">
        <references count="2">
          <reference field="1" count="1" selected="0">
            <x v="2"/>
          </reference>
          <reference field="4" count="5">
            <x v="8"/>
            <x v="9"/>
            <x v="10"/>
            <x v="11"/>
            <x v="12"/>
          </reference>
        </references>
      </pivotArea>
    </format>
    <format dxfId="63">
      <pivotArea dataOnly="0" labelOnly="1" fieldPosition="0">
        <references count="2">
          <reference field="1" count="1" selected="0">
            <x v="3"/>
          </reference>
          <reference field="4" count="4">
            <x v="13"/>
            <x v="14"/>
            <x v="15"/>
            <x v="16"/>
          </reference>
        </references>
      </pivotArea>
    </format>
    <format dxfId="62">
      <pivotArea dataOnly="0" labelOnly="1" fieldPosition="0">
        <references count="2">
          <reference field="1" count="1" selected="0">
            <x v="4"/>
          </reference>
          <reference field="4" count="7">
            <x v="17"/>
            <x v="18"/>
            <x v="19"/>
            <x v="20"/>
            <x v="21"/>
            <x v="22"/>
            <x v="23"/>
          </reference>
        </references>
      </pivotArea>
    </format>
    <format dxfId="61">
      <pivotArea dataOnly="0" labelOnly="1" fieldPosition="0">
        <references count="2">
          <reference field="1" count="1" selected="0">
            <x v="5"/>
          </reference>
          <reference field="4" count="1">
            <x v="24"/>
          </reference>
        </references>
      </pivotArea>
    </format>
    <format dxfId="60">
      <pivotArea dataOnly="0" labelOnly="1" fieldPosition="0">
        <references count="2">
          <reference field="1" count="1" selected="0">
            <x v="6"/>
          </reference>
          <reference field="4" count="1">
            <x v="25"/>
          </reference>
        </references>
      </pivotArea>
    </format>
    <format dxfId="59">
      <pivotArea dataOnly="0" labelOnly="1" fieldPosition="0">
        <references count="2">
          <reference field="1" count="1" selected="0">
            <x v="7"/>
          </reference>
          <reference field="4" count="10">
            <x v="26"/>
            <x v="27"/>
            <x v="28"/>
            <x v="29"/>
            <x v="30"/>
            <x v="31"/>
            <x v="32"/>
            <x v="33"/>
            <x v="34"/>
            <x v="35"/>
          </reference>
        </references>
      </pivotArea>
    </format>
    <format dxfId="58">
      <pivotArea dataOnly="0" labelOnly="1" fieldPosition="0">
        <references count="2">
          <reference field="1" count="1" selected="0">
            <x v="8"/>
          </reference>
          <reference field="4" count="5">
            <x v="38"/>
            <x v="39"/>
            <x v="40"/>
            <x v="41"/>
            <x v="42"/>
          </reference>
        </references>
      </pivotArea>
    </format>
    <format dxfId="57">
      <pivotArea dataOnly="0" labelOnly="1" outline="0" axis="axisValues" fieldPosition="0"/>
    </format>
    <format dxfId="56">
      <pivotArea type="topRight" dataOnly="0" labelOnly="1" outline="0" offset="A1" fieldPosition="0"/>
    </format>
    <format dxfId="55">
      <pivotArea dataOnly="0" labelOnly="1" fieldPosition="0">
        <references count="1">
          <reference field="5" count="1">
            <x v="1"/>
          </reference>
        </references>
      </pivotArea>
    </format>
    <format dxfId="54">
      <pivotArea type="topRight" dataOnly="0" labelOnly="1" outline="0" offset="B1" fieldPosition="0"/>
    </format>
    <format dxfId="53">
      <pivotArea dataOnly="0" labelOnly="1" fieldPosition="0">
        <references count="1">
          <reference field="5" count="1">
            <x v="2"/>
          </reference>
        </references>
      </pivotArea>
    </format>
    <format dxfId="52">
      <pivotArea type="topRight" dataOnly="0" labelOnly="1" outline="0" offset="C1" fieldPosition="0"/>
    </format>
    <format dxfId="51">
      <pivotArea dataOnly="0" labelOnly="1" fieldPosition="0">
        <references count="1">
          <reference field="5" count="1">
            <x v="3"/>
          </reference>
        </references>
      </pivotArea>
    </format>
    <format dxfId="50">
      <pivotArea type="topRight" dataOnly="0" labelOnly="1" outline="0" offset="E1" fieldPosition="0"/>
    </format>
    <format dxfId="49">
      <pivotArea dataOnly="0" labelOnly="1" fieldPosition="0">
        <references count="1">
          <reference field="5" count="1">
            <x v="5"/>
          </reference>
        </references>
      </pivotArea>
    </format>
    <format dxfId="48">
      <pivotArea type="topRight" dataOnly="0" labelOnly="1" outline="0" offset="F1" fieldPosition="0"/>
    </format>
    <format dxfId="47">
      <pivotArea dataOnly="0" labelOnly="1" fieldPosition="0">
        <references count="1">
          <reference field="5" count="1">
            <x v="6"/>
          </reference>
        </references>
      </pivotArea>
    </format>
    <format dxfId="46">
      <pivotArea type="topRight" dataOnly="0" labelOnly="1" outline="0" offset="D1" fieldPosition="0"/>
    </format>
    <format dxfId="45">
      <pivotArea dataOnly="0" labelOnly="1" fieldPosition="0">
        <references count="1">
          <reference field="5" count="1">
            <x v="4"/>
          </reference>
        </references>
      </pivotArea>
    </format>
    <format dxfId="44">
      <pivotArea dataOnly="0" labelOnly="1" fieldPosition="0">
        <references count="1">
          <reference field="5" count="1">
            <x v="0"/>
          </reference>
        </references>
      </pivotArea>
    </format>
    <format dxfId="43">
      <pivotArea type="topRight" dataOnly="0" labelOnly="1" outline="0" fieldPosition="0"/>
    </format>
    <format dxfId="42">
      <pivotArea type="origin" dataOnly="0" labelOnly="1" outline="0" fieldPosition="0"/>
    </format>
    <format dxfId="41">
      <pivotArea field="5" type="button" dataOnly="0" labelOnly="1" outline="0" axis="axisCol" fieldPosition="0"/>
    </format>
    <format dxfId="40">
      <pivotArea type="topRight" dataOnly="0" labelOnly="1" outline="0" fieldPosition="0"/>
    </format>
    <format dxfId="39">
      <pivotArea field="1" type="button" dataOnly="0" labelOnly="1" outline="0" axis="axisRow" fieldPosition="0"/>
    </format>
    <format dxfId="38">
      <pivotArea dataOnly="0" labelOnly="1" fieldPosition="0">
        <references count="1">
          <reference field="5" count="0"/>
        </references>
      </pivotArea>
    </format>
    <format dxfId="37">
      <pivotArea dataOnly="0" labelOnly="1" grandCol="1" outline="0" fieldPosition="0"/>
    </format>
  </formats>
  <pivotHierarchies count="36">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
    <rowHierarchyUsage hierarchyUsage="9"/>
  </rowHierarchiesUsage>
  <colHierarchiesUsage count="1">
    <colHierarchyUsage hierarchyUsage="2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en PO Stage 2 D365 Rev.00.xlsx!RawDataGenPO">
        <x15:activeTabTopLevelEntity name="[RawDataGenPO]"/>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19BC890-1973-4E87-BFE3-0C6ED2166356}" name="RawDataGenPO" displayName="RawDataGenPO" ref="A1:AD225" totalsRowCount="1" headerRowDxfId="129" dataDxfId="128">
  <autoFilter ref="A1:AD224" xr:uid="{519BC890-1973-4E87-BFE3-0C6ED2166356}"/>
  <tableColumns count="30">
    <tableColumn id="31" xr3:uid="{0F9BA1F2-ADAB-4B52-9DE7-07B8E0094569}" name="No." dataDxfId="127" totalsRowDxfId="29">
      <calculatedColumnFormula>ROW()-ROW(RawDataGenPO[[#Headers],[No.]])</calculatedColumnFormula>
    </tableColumn>
    <tableColumn id="34" xr3:uid="{86177BD5-AC7D-4261-912E-4573F1024BB3}" name="Type of cost" dataDxfId="126" totalsRowDxfId="28"/>
    <tableColumn id="1" xr3:uid="{F7D846E2-6F24-4327-8101-0DBC6BAF6872}" name="DMY Create PR" dataDxfId="125" totalsRowDxfId="27"/>
    <tableColumn id="2" xr3:uid="{B6B0EAFE-93B7-483A-BCF0-2C7AAC447C41}" name="PR No." dataDxfId="124" totalsRowDxfId="26"/>
    <tableColumn id="3" xr3:uid="{4D2E5468-F738-4101-841E-69214D41A921}" name="PO No." dataDxfId="123" totalsRowDxfId="25"/>
    <tableColumn id="17" xr3:uid="{667319B3-4C8C-48CF-9E35-9B0778B5C4EC}" name="Date Gen PO" dataDxfId="122" totalsRowDxfId="24"/>
    <tableColumn id="26" xr3:uid="{2DF67E68-E61C-495A-B386-F80081248EB9}" name="Lead time delivery (day)" dataDxfId="121" totalsRowDxfId="23"/>
    <tableColumn id="4" xr3:uid="{FBC63A2F-C1AB-442D-AB80-6351593A9838}" name="Item" dataDxfId="120" totalsRowDxfId="22"/>
    <tableColumn id="13" xr3:uid="{C3B0A9E7-F75F-46E9-A41E-D347BF2B90DB}" name="Sub PR  No." dataDxfId="119" totalsRowDxfId="21"/>
    <tableColumn id="5" xr3:uid="{6B9A5B4B-E7AE-4297-911F-68B1FDCDEA52}" name="TRANSPORTATION" dataDxfId="118" totalsRowDxfId="20"/>
    <tableColumn id="9" xr3:uid="{97A3CBFA-2DB6-4237-97D1-3E0E2BD78737}" name="Qty'" dataDxfId="117" totalsRowDxfId="19"/>
    <tableColumn id="10" xr3:uid="{3760296F-9B80-4B8D-92BC-8974DC55BE63}" name="Unit" dataDxfId="116" totalsRowDxfId="18"/>
    <tableColumn id="15" xr3:uid="{BD471905-6694-4F6A-B1B1-8955B75180E1}" name="Price/Unit" dataDxfId="115" totalsRowDxfId="17">
      <calculatedColumnFormula>N2/K2</calculatedColumnFormula>
    </tableColumn>
    <tableColumn id="6" xr3:uid="{D2B49A65-3F48-4D44-8ADC-238279816F14}" name="Total price" dataDxfId="114" totalsRowDxfId="16" dataCellStyle="Comma"/>
    <tableColumn id="12" xr3:uid="{06DE2E20-BAEC-4389-BD7E-028458FB6EDC}" name="Approval status" dataDxfId="113" totalsRowDxfId="15" dataCellStyle="Comma"/>
    <tableColumn id="18" xr3:uid="{6B69C4AA-C905-4656-B6CB-EB64E875CD71}" name="Column1" dataDxfId="112" totalsRowDxfId="14" dataCellStyle="Comma">
      <calculatedColumnFormula>RawDataGenPO[[#This Row],[Total price]]*40/100</calculatedColumnFormula>
    </tableColumn>
    <tableColumn id="23" xr3:uid="{F627C80B-BBBC-4347-9566-71BA36AE11D9}" name="Column14" dataDxfId="111" totalsRowDxfId="13" dataCellStyle="Comma"/>
    <tableColumn id="22" xr3:uid="{FBC8CB14-D213-4E96-AC62-A10433E196C8}" name="Column13" dataDxfId="110" totalsRowDxfId="12" dataCellStyle="Comma"/>
    <tableColumn id="20" xr3:uid="{7E066F24-E62D-46E5-A9EE-98A6E6DA97D2}" name="Column12" dataDxfId="109" totalsRowDxfId="11" dataCellStyle="Comma"/>
    <tableColumn id="24" xr3:uid="{4EB1041E-A8AB-480F-95E0-71BD4C619263}" name="Column122" dataDxfId="108" totalsRowDxfId="10" dataCellStyle="Comma"/>
    <tableColumn id="19" xr3:uid="{F2EA1FB5-8B5D-4642-8292-391C35EB0723}" name="Remaining" dataDxfId="107" totalsRowDxfId="9" dataCellStyle="Comma">
      <calculatedColumnFormula>RawDataGenPO[[#This Row],[Total price]]-RawDataGenPO[[#This Row],[Column1]]-RawDataGenPO[[#This Row],[Column14]]-RawDataGenPO[[#This Row],[Column13]]-RawDataGenPO[[#This Row],[Column12]]</calculatedColumnFormula>
    </tableColumn>
    <tableColumn id="7" xr3:uid="{AFB8CBDB-6062-4AF8-8087-BCD8DD3FEC5E}" name="Vendor name" dataDxfId="106" totalsRowDxfId="8"/>
    <tableColumn id="21" xr3:uid="{BF186F42-C03B-407C-9A8D-C304D9FEA84D}" name="PR PO GRN Status" dataDxfId="105" totalsRowDxfId="7"/>
    <tableColumn id="14" xr3:uid="{1234FF31-CEDD-4145-B07F-172CBFF69D11}" name="GRN No." dataDxfId="104" totalsRowDxfId="6"/>
    <tableColumn id="8" xr3:uid="{7EF73C81-7D40-4D27-B145-E3C10176A43B}" name="Date recive bill" dataDxfId="103" totalsRowDxfId="5"/>
    <tableColumn id="32" xr3:uid="{FBB5846F-82BF-4472-8CED-4F8D561AEEB7}" name="Recive bill plan(DD-MM)" dataDxfId="102" totalsRowDxfId="4"/>
    <tableColumn id="27" xr3:uid="{A5A7EED1-31F3-42D3-B7BA-5EEB4B96C728}" name="GRN-PO date" dataDxfId="101" totalsRowDxfId="3">
      <calculatedColumnFormula>IF(RawDataGenPO[[#This Row],[Date Gen PO]]="","",RawDataGenPO[[#This Row],[Date recive bill]]-RawDataGenPO[[#This Row],[Date Gen PO]])</calculatedColumnFormula>
    </tableColumn>
    <tableColumn id="28" xr3:uid="{B103749F-5A02-4955-94BE-979E27607AAF}" name="KPI Status" dataDxfId="100" totalsRowDxfId="2">
      <calculatedColumnFormula>IF(RawDataGenPO[[#This Row],[GRN-PO date]]&gt;RawDataGenPO[[#This Row],[Lead time delivery (day)]],"over deliverry","Ontime")</calculatedColumnFormula>
    </tableColumn>
    <tableColumn id="11" xr3:uid="{B1BF3AB1-2DFF-46B1-8B9B-CB3CF2F7ADC2}" name="Customer_Group" dataDxfId="99" totalsRowDxfId="1"/>
    <tableColumn id="16" xr3:uid="{2E9F3A78-1DC2-4947-8DB2-F68A0C4CA2AA}" name="Note" dataDxfId="98" totalsRow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8AD0A-25CF-4E04-B41F-E38FBFDFAD8E}">
  <dimension ref="A3:J20"/>
  <sheetViews>
    <sheetView zoomScale="80" zoomScaleNormal="80" workbookViewId="0">
      <selection activeCell="F41" sqref="F41"/>
    </sheetView>
  </sheetViews>
  <sheetFormatPr defaultRowHeight="16.5" x14ac:dyDescent="0.3"/>
  <cols>
    <col min="1" max="1" width="28.75" bestFit="1" customWidth="1"/>
    <col min="2" max="2" width="26.75" bestFit="1" customWidth="1"/>
    <col min="3" max="3" width="4.75" bestFit="1" customWidth="1"/>
    <col min="4" max="4" width="4.5" bestFit="1" customWidth="1"/>
    <col min="5" max="5" width="4.25" bestFit="1" customWidth="1"/>
    <col min="6" max="6" width="7.375" bestFit="1" customWidth="1"/>
    <col min="7" max="7" width="11.5" bestFit="1" customWidth="1"/>
    <col min="8" max="9" width="10" bestFit="1" customWidth="1"/>
    <col min="10" max="10" width="11.625" bestFit="1" customWidth="1"/>
    <col min="11" max="11" width="11.125" bestFit="1" customWidth="1"/>
    <col min="12" max="12" width="27" bestFit="1" customWidth="1"/>
    <col min="13" max="13" width="30.125" bestFit="1" customWidth="1"/>
    <col min="14" max="15" width="28.75" bestFit="1" customWidth="1"/>
    <col min="16" max="16" width="31.75" bestFit="1" customWidth="1"/>
    <col min="17" max="23" width="29.25" bestFit="1" customWidth="1"/>
    <col min="24" max="24" width="32.25" bestFit="1" customWidth="1"/>
    <col min="25" max="25" width="32.125" bestFit="1" customWidth="1"/>
    <col min="26" max="26" width="35.125" bestFit="1" customWidth="1"/>
    <col min="27" max="30" width="9" bestFit="1" customWidth="1"/>
    <col min="31" max="31" width="11.875" bestFit="1" customWidth="1"/>
    <col min="32" max="32" width="11.125" bestFit="1" customWidth="1"/>
  </cols>
  <sheetData>
    <row r="3" spans="1:10" x14ac:dyDescent="0.3">
      <c r="A3" s="10" t="s">
        <v>2</v>
      </c>
      <c r="B3" s="13" t="s">
        <v>0</v>
      </c>
    </row>
    <row r="4" spans="1:10" x14ac:dyDescent="0.3">
      <c r="A4" s="11" t="s">
        <v>8</v>
      </c>
      <c r="B4" s="12">
        <v>16699222.75</v>
      </c>
    </row>
    <row r="5" spans="1:10" x14ac:dyDescent="0.3">
      <c r="A5" s="11" t="s">
        <v>9</v>
      </c>
      <c r="B5" s="12">
        <v>6664531.9499999993</v>
      </c>
    </row>
    <row r="6" spans="1:10" x14ac:dyDescent="0.3">
      <c r="A6" s="11" t="s">
        <v>225</v>
      </c>
      <c r="B6" s="12"/>
    </row>
    <row r="7" spans="1:10" x14ac:dyDescent="0.3">
      <c r="A7" s="11" t="s">
        <v>7</v>
      </c>
      <c r="B7" s="12">
        <v>23363754.699999999</v>
      </c>
    </row>
    <row r="14" spans="1:10" x14ac:dyDescent="0.3">
      <c r="A14" s="14"/>
      <c r="B14" s="15"/>
      <c r="C14" s="15"/>
      <c r="D14" s="15"/>
      <c r="E14" s="15"/>
      <c r="F14" s="15"/>
      <c r="G14" s="15"/>
      <c r="H14" s="15"/>
      <c r="I14" s="15"/>
      <c r="J14" s="15"/>
    </row>
    <row r="16" spans="1:10" x14ac:dyDescent="0.3">
      <c r="A16" s="10" t="s">
        <v>2</v>
      </c>
      <c r="B16" s="13" t="s">
        <v>11</v>
      </c>
    </row>
    <row r="17" spans="1:2" x14ac:dyDescent="0.3">
      <c r="A17" s="11" t="s">
        <v>8</v>
      </c>
      <c r="B17" s="2">
        <v>130</v>
      </c>
    </row>
    <row r="18" spans="1:2" x14ac:dyDescent="0.3">
      <c r="A18" s="11" t="s">
        <v>9</v>
      </c>
      <c r="B18" s="2">
        <v>63</v>
      </c>
    </row>
    <row r="19" spans="1:2" x14ac:dyDescent="0.3">
      <c r="A19" s="11" t="s">
        <v>225</v>
      </c>
      <c r="B19" s="2"/>
    </row>
    <row r="20" spans="1:2" x14ac:dyDescent="0.3">
      <c r="A20" s="11" t="s">
        <v>7</v>
      </c>
      <c r="B20" s="2">
        <v>193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55CC4-F29D-4DA0-82C1-5E000C83F263}">
  <dimension ref="A1:I378"/>
  <sheetViews>
    <sheetView workbookViewId="0">
      <pane ySplit="6" topLeftCell="A232" activePane="bottomLeft" state="frozen"/>
      <selection pane="bottomLeft" activeCell="H261" sqref="H261"/>
    </sheetView>
  </sheetViews>
  <sheetFormatPr defaultColWidth="9" defaultRowHeight="16.5" x14ac:dyDescent="0.3"/>
  <cols>
    <col min="1" max="1" width="69.25" style="22" bestFit="1" customWidth="1"/>
    <col min="2" max="2" width="16" style="22" bestFit="1" customWidth="1"/>
    <col min="3" max="3" width="13.875" style="22" bestFit="1" customWidth="1"/>
    <col min="4" max="4" width="15" style="22" bestFit="1" customWidth="1"/>
    <col min="5" max="5" width="13.875" style="22" bestFit="1" customWidth="1"/>
    <col min="6" max="7" width="12.125" style="22" bestFit="1" customWidth="1"/>
    <col min="8" max="8" width="13.875" style="22" bestFit="1" customWidth="1"/>
    <col min="9" max="9" width="15" style="22" bestFit="1" customWidth="1"/>
    <col min="10" max="13" width="33" style="22" bestFit="1" customWidth="1"/>
    <col min="14" max="14" width="14.5" style="22" bestFit="1" customWidth="1"/>
    <col min="15" max="15" width="14.375" style="22" bestFit="1" customWidth="1"/>
    <col min="16" max="16" width="22.25" style="22" bestFit="1" customWidth="1"/>
    <col min="17" max="17" width="14.375" style="22" bestFit="1" customWidth="1"/>
    <col min="18" max="18" width="12.625" style="22" bestFit="1" customWidth="1"/>
    <col min="19" max="19" width="16" style="22" bestFit="1" customWidth="1"/>
    <col min="20" max="20" width="20.875" style="22" bestFit="1" customWidth="1"/>
    <col min="21" max="21" width="12" style="22" bestFit="1" customWidth="1"/>
    <col min="22" max="22" width="46.875" style="22" bestFit="1" customWidth="1"/>
    <col min="23" max="23" width="11.5" style="22" bestFit="1" customWidth="1"/>
    <col min="24" max="24" width="60.25" style="22" bestFit="1" customWidth="1"/>
    <col min="25" max="25" width="15.75" style="22" bestFit="1" customWidth="1"/>
    <col min="26" max="26" width="19.5" style="22" bestFit="1" customWidth="1"/>
    <col min="27" max="27" width="65.75" style="22" bestFit="1" customWidth="1"/>
    <col min="28" max="28" width="10.75" style="22" bestFit="1" customWidth="1"/>
    <col min="29" max="29" width="17.125" style="22" bestFit="1" customWidth="1"/>
    <col min="30" max="30" width="31.25" style="22" bestFit="1" customWidth="1"/>
    <col min="31" max="31" width="215.625" style="22" bestFit="1" customWidth="1"/>
    <col min="32" max="32" width="218.5" style="22" bestFit="1" customWidth="1"/>
    <col min="33" max="33" width="24.375" style="22" bestFit="1" customWidth="1"/>
    <col min="34" max="34" width="45" style="22" bestFit="1" customWidth="1"/>
    <col min="35" max="35" width="17.375" style="22" bestFit="1" customWidth="1"/>
    <col min="36" max="36" width="52.875" style="22" bestFit="1" customWidth="1"/>
    <col min="37" max="37" width="14.875" style="22" bestFit="1" customWidth="1"/>
    <col min="38" max="38" width="12.125" style="22" bestFit="1" customWidth="1"/>
    <col min="39" max="39" width="11.5" style="22" bestFit="1" customWidth="1"/>
    <col min="40" max="40" width="25.375" style="22" bestFit="1" customWidth="1"/>
    <col min="41" max="41" width="21.25" style="22" bestFit="1" customWidth="1"/>
    <col min="42" max="42" width="66.5" style="22" bestFit="1" customWidth="1"/>
    <col min="43" max="43" width="48.875" style="22" bestFit="1" customWidth="1"/>
    <col min="44" max="44" width="50.75" style="22" bestFit="1" customWidth="1"/>
    <col min="45" max="45" width="12.125" style="22" bestFit="1" customWidth="1"/>
    <col min="46" max="46" width="23.375" style="22" bestFit="1" customWidth="1"/>
    <col min="47" max="47" width="15.5" style="22" bestFit="1" customWidth="1"/>
    <col min="48" max="16384" width="9" style="22"/>
  </cols>
  <sheetData>
    <row r="1" spans="1:9" x14ac:dyDescent="0.3">
      <c r="A1"/>
      <c r="B1"/>
    </row>
    <row r="2" spans="1:9" x14ac:dyDescent="0.3">
      <c r="A2" s="23" t="s">
        <v>19</v>
      </c>
      <c r="B2" s="22" t="s" vm="1">
        <v>123</v>
      </c>
    </row>
    <row r="3" spans="1:9" x14ac:dyDescent="0.3">
      <c r="A3" s="23" t="s">
        <v>87</v>
      </c>
      <c r="B3" s="22" t="s" vm="2">
        <v>123</v>
      </c>
    </row>
    <row r="5" spans="1:9" x14ac:dyDescent="0.3">
      <c r="A5" s="72" t="s">
        <v>12</v>
      </c>
      <c r="B5" s="72" t="s">
        <v>463</v>
      </c>
      <c r="C5" s="73"/>
      <c r="D5" s="73"/>
      <c r="E5" s="73"/>
      <c r="F5" s="73"/>
      <c r="G5" s="73"/>
      <c r="H5" s="73"/>
      <c r="I5" s="73"/>
    </row>
    <row r="6" spans="1:9" x14ac:dyDescent="0.3">
      <c r="A6" s="72" t="s">
        <v>13</v>
      </c>
      <c r="B6" s="64" t="s">
        <v>508</v>
      </c>
      <c r="C6" s="65" t="s">
        <v>223</v>
      </c>
      <c r="D6" s="66" t="s">
        <v>219</v>
      </c>
      <c r="E6" s="67" t="s">
        <v>221</v>
      </c>
      <c r="F6" s="68" t="s">
        <v>222</v>
      </c>
      <c r="G6" s="69" t="s">
        <v>444</v>
      </c>
      <c r="H6" s="70" t="s">
        <v>462</v>
      </c>
      <c r="I6" s="71" t="s">
        <v>7</v>
      </c>
    </row>
    <row r="7" spans="1:9" x14ac:dyDescent="0.3">
      <c r="A7" s="24" t="s">
        <v>89</v>
      </c>
      <c r="B7" s="25"/>
      <c r="C7" s="25"/>
      <c r="D7" s="25"/>
      <c r="E7" s="25">
        <v>825000</v>
      </c>
      <c r="F7" s="25"/>
      <c r="G7" s="25"/>
      <c r="H7" s="25"/>
      <c r="I7" s="25">
        <v>825000</v>
      </c>
    </row>
    <row r="8" spans="1:9" ht="115.5" x14ac:dyDescent="0.3">
      <c r="A8" s="24" t="s">
        <v>94</v>
      </c>
      <c r="B8" s="25"/>
      <c r="C8" s="25"/>
      <c r="D8" s="25"/>
      <c r="E8" s="25">
        <v>150000</v>
      </c>
      <c r="F8" s="25"/>
      <c r="G8" s="25"/>
      <c r="H8" s="25"/>
      <c r="I8" s="25">
        <v>150000</v>
      </c>
    </row>
    <row r="9" spans="1:9" ht="115.5" x14ac:dyDescent="0.3">
      <c r="A9" s="24" t="s">
        <v>93</v>
      </c>
      <c r="B9" s="25"/>
      <c r="C9" s="25"/>
      <c r="D9" s="25"/>
      <c r="E9" s="25">
        <v>675000</v>
      </c>
      <c r="F9" s="25"/>
      <c r="G9" s="25"/>
      <c r="H9" s="25"/>
      <c r="I9" s="25">
        <v>675000</v>
      </c>
    </row>
    <row r="10" spans="1:9" x14ac:dyDescent="0.3">
      <c r="A10" s="24" t="s">
        <v>96</v>
      </c>
      <c r="B10" s="25"/>
      <c r="C10" s="25"/>
      <c r="D10" s="25">
        <v>1040000</v>
      </c>
      <c r="E10" s="25">
        <v>285300</v>
      </c>
      <c r="F10" s="25"/>
      <c r="G10" s="25"/>
      <c r="H10" s="25"/>
      <c r="I10" s="25">
        <v>1325300</v>
      </c>
    </row>
    <row r="11" spans="1:9" x14ac:dyDescent="0.3">
      <c r="A11" s="24" t="s">
        <v>525</v>
      </c>
      <c r="B11" s="25"/>
      <c r="C11" s="25"/>
      <c r="D11" s="25"/>
      <c r="E11" s="25">
        <v>104000</v>
      </c>
      <c r="F11" s="25"/>
      <c r="G11" s="25"/>
      <c r="H11" s="25"/>
      <c r="I11" s="25">
        <v>104000</v>
      </c>
    </row>
    <row r="12" spans="1:9" x14ac:dyDescent="0.3">
      <c r="A12" s="24" t="s">
        <v>526</v>
      </c>
      <c r="B12" s="25"/>
      <c r="C12" s="25"/>
      <c r="D12" s="25"/>
      <c r="E12" s="25">
        <v>20800</v>
      </c>
      <c r="F12" s="25"/>
      <c r="G12" s="25"/>
      <c r="H12" s="25"/>
      <c r="I12" s="25">
        <v>20800</v>
      </c>
    </row>
    <row r="13" spans="1:9" ht="66" x14ac:dyDescent="0.3">
      <c r="A13" s="24" t="s">
        <v>522</v>
      </c>
      <c r="B13" s="25"/>
      <c r="C13" s="25"/>
      <c r="D13" s="25"/>
      <c r="E13" s="25">
        <v>2500</v>
      </c>
      <c r="F13" s="25"/>
      <c r="G13" s="25"/>
      <c r="H13" s="25"/>
      <c r="I13" s="25">
        <v>2500</v>
      </c>
    </row>
    <row r="14" spans="1:9" ht="49.5" x14ac:dyDescent="0.3">
      <c r="A14" s="24" t="s">
        <v>204</v>
      </c>
      <c r="B14" s="25"/>
      <c r="C14" s="25"/>
      <c r="D14" s="25">
        <v>795000</v>
      </c>
      <c r="E14" s="25"/>
      <c r="F14" s="25"/>
      <c r="G14" s="25"/>
      <c r="H14" s="25"/>
      <c r="I14" s="25">
        <v>795000</v>
      </c>
    </row>
    <row r="15" spans="1:9" x14ac:dyDescent="0.3">
      <c r="A15" s="24" t="s">
        <v>521</v>
      </c>
      <c r="B15" s="25"/>
      <c r="C15" s="25"/>
      <c r="D15" s="25"/>
      <c r="E15" s="25">
        <v>158000</v>
      </c>
      <c r="F15" s="25"/>
      <c r="G15" s="25"/>
      <c r="H15" s="25"/>
      <c r="I15" s="25">
        <v>158000</v>
      </c>
    </row>
    <row r="16" spans="1:9" ht="66" x14ac:dyDescent="0.3">
      <c r="A16" s="24" t="s">
        <v>205</v>
      </c>
      <c r="B16" s="25"/>
      <c r="C16" s="25"/>
      <c r="D16" s="25">
        <v>245000</v>
      </c>
      <c r="E16" s="25"/>
      <c r="F16" s="25"/>
      <c r="G16" s="25"/>
      <c r="H16" s="25"/>
      <c r="I16" s="25">
        <v>245000</v>
      </c>
    </row>
    <row r="17" spans="1:9" x14ac:dyDescent="0.3">
      <c r="A17" s="24" t="s">
        <v>97</v>
      </c>
      <c r="B17" s="25"/>
      <c r="C17" s="25"/>
      <c r="D17" s="25">
        <v>558100</v>
      </c>
      <c r="E17" s="25"/>
      <c r="F17" s="25"/>
      <c r="G17" s="25"/>
      <c r="H17" s="25"/>
      <c r="I17" s="25">
        <v>558100</v>
      </c>
    </row>
    <row r="18" spans="1:9" ht="33" x14ac:dyDescent="0.3">
      <c r="A18" s="24" t="s">
        <v>101</v>
      </c>
      <c r="B18" s="25"/>
      <c r="C18" s="25"/>
      <c r="D18" s="25">
        <v>304500</v>
      </c>
      <c r="E18" s="25"/>
      <c r="F18" s="25"/>
      <c r="G18" s="25"/>
      <c r="H18" s="25"/>
      <c r="I18" s="25">
        <v>304500</v>
      </c>
    </row>
    <row r="19" spans="1:9" ht="33" x14ac:dyDescent="0.3">
      <c r="A19" s="24" t="s">
        <v>102</v>
      </c>
      <c r="B19" s="25"/>
      <c r="C19" s="25"/>
      <c r="D19" s="25">
        <v>9000</v>
      </c>
      <c r="E19" s="25"/>
      <c r="F19" s="25"/>
      <c r="G19" s="25"/>
      <c r="H19" s="25"/>
      <c r="I19" s="25">
        <v>9000</v>
      </c>
    </row>
    <row r="20" spans="1:9" ht="33" x14ac:dyDescent="0.3">
      <c r="A20" s="24" t="s">
        <v>98</v>
      </c>
      <c r="B20" s="25"/>
      <c r="C20" s="25"/>
      <c r="D20" s="25">
        <v>75600</v>
      </c>
      <c r="E20" s="25"/>
      <c r="F20" s="25"/>
      <c r="G20" s="25"/>
      <c r="H20" s="25"/>
      <c r="I20" s="25">
        <v>75600</v>
      </c>
    </row>
    <row r="21" spans="1:9" x14ac:dyDescent="0.3">
      <c r="A21" s="24" t="s">
        <v>99</v>
      </c>
      <c r="B21" s="25"/>
      <c r="C21" s="25"/>
      <c r="D21" s="25">
        <v>6500</v>
      </c>
      <c r="E21" s="25"/>
      <c r="F21" s="25"/>
      <c r="G21" s="25"/>
      <c r="H21" s="25"/>
      <c r="I21" s="25">
        <v>6500</v>
      </c>
    </row>
    <row r="22" spans="1:9" ht="33" x14ac:dyDescent="0.3">
      <c r="A22" s="24" t="s">
        <v>100</v>
      </c>
      <c r="B22" s="25"/>
      <c r="C22" s="25"/>
      <c r="D22" s="25">
        <v>162500</v>
      </c>
      <c r="E22" s="25"/>
      <c r="F22" s="25"/>
      <c r="G22" s="25"/>
      <c r="H22" s="25"/>
      <c r="I22" s="25">
        <v>162500</v>
      </c>
    </row>
    <row r="23" spans="1:9" x14ac:dyDescent="0.3">
      <c r="A23" s="24" t="s">
        <v>103</v>
      </c>
      <c r="B23" s="25"/>
      <c r="C23" s="25"/>
      <c r="D23" s="25">
        <v>3735000</v>
      </c>
      <c r="E23" s="25"/>
      <c r="F23" s="25"/>
      <c r="G23" s="25"/>
      <c r="H23" s="25"/>
      <c r="I23" s="25">
        <v>3735000</v>
      </c>
    </row>
    <row r="24" spans="1:9" x14ac:dyDescent="0.3">
      <c r="A24" s="24" t="s">
        <v>106</v>
      </c>
      <c r="B24" s="25"/>
      <c r="C24" s="25"/>
      <c r="D24" s="25">
        <v>1164000</v>
      </c>
      <c r="E24" s="25"/>
      <c r="F24" s="25"/>
      <c r="G24" s="25"/>
      <c r="H24" s="25"/>
      <c r="I24" s="25">
        <v>1164000</v>
      </c>
    </row>
    <row r="25" spans="1:9" x14ac:dyDescent="0.3">
      <c r="A25" s="24" t="s">
        <v>104</v>
      </c>
      <c r="B25" s="25"/>
      <c r="C25" s="25"/>
      <c r="D25" s="25">
        <v>1780000</v>
      </c>
      <c r="E25" s="25"/>
      <c r="F25" s="25"/>
      <c r="G25" s="25"/>
      <c r="H25" s="25"/>
      <c r="I25" s="25">
        <v>1780000</v>
      </c>
    </row>
    <row r="26" spans="1:9" x14ac:dyDescent="0.3">
      <c r="A26" s="24" t="s">
        <v>105</v>
      </c>
      <c r="B26" s="25"/>
      <c r="C26" s="25"/>
      <c r="D26" s="25">
        <v>408000</v>
      </c>
      <c r="E26" s="25"/>
      <c r="F26" s="25"/>
      <c r="G26" s="25"/>
      <c r="H26" s="25"/>
      <c r="I26" s="25">
        <v>408000</v>
      </c>
    </row>
    <row r="27" spans="1:9" x14ac:dyDescent="0.3">
      <c r="A27" s="24" t="s">
        <v>107</v>
      </c>
      <c r="B27" s="25"/>
      <c r="C27" s="25"/>
      <c r="D27" s="25">
        <v>383000</v>
      </c>
      <c r="E27" s="25"/>
      <c r="F27" s="25"/>
      <c r="G27" s="25"/>
      <c r="H27" s="25"/>
      <c r="I27" s="25">
        <v>383000</v>
      </c>
    </row>
    <row r="28" spans="1:9" x14ac:dyDescent="0.3">
      <c r="A28" s="24" t="s">
        <v>108</v>
      </c>
      <c r="B28" s="25"/>
      <c r="C28" s="25"/>
      <c r="D28" s="25">
        <v>4333550</v>
      </c>
      <c r="E28" s="25"/>
      <c r="F28" s="25"/>
      <c r="G28" s="25"/>
      <c r="H28" s="25"/>
      <c r="I28" s="25">
        <v>4333550</v>
      </c>
    </row>
    <row r="29" spans="1:9" x14ac:dyDescent="0.3">
      <c r="A29" s="24" t="s">
        <v>114</v>
      </c>
      <c r="B29" s="25"/>
      <c r="C29" s="25"/>
      <c r="D29" s="25">
        <v>122850</v>
      </c>
      <c r="E29" s="25"/>
      <c r="F29" s="25"/>
      <c r="G29" s="25"/>
      <c r="H29" s="25"/>
      <c r="I29" s="25">
        <v>122850</v>
      </c>
    </row>
    <row r="30" spans="1:9" x14ac:dyDescent="0.3">
      <c r="A30" s="24" t="s">
        <v>111</v>
      </c>
      <c r="B30" s="25"/>
      <c r="C30" s="25"/>
      <c r="D30" s="25">
        <v>261000</v>
      </c>
      <c r="E30" s="25"/>
      <c r="F30" s="25"/>
      <c r="G30" s="25"/>
      <c r="H30" s="25"/>
      <c r="I30" s="25">
        <v>261000</v>
      </c>
    </row>
    <row r="31" spans="1:9" x14ac:dyDescent="0.3">
      <c r="A31" s="24" t="s">
        <v>115</v>
      </c>
      <c r="B31" s="25"/>
      <c r="C31" s="25"/>
      <c r="D31" s="25">
        <v>71000</v>
      </c>
      <c r="E31" s="25"/>
      <c r="F31" s="25"/>
      <c r="G31" s="25"/>
      <c r="H31" s="25"/>
      <c r="I31" s="25">
        <v>71000</v>
      </c>
    </row>
    <row r="32" spans="1:9" x14ac:dyDescent="0.3">
      <c r="A32" s="24" t="s">
        <v>112</v>
      </c>
      <c r="B32" s="25"/>
      <c r="C32" s="25"/>
      <c r="D32" s="25">
        <v>721500</v>
      </c>
      <c r="E32" s="25"/>
      <c r="F32" s="25"/>
      <c r="G32" s="25"/>
      <c r="H32" s="25"/>
      <c r="I32" s="25">
        <v>721500</v>
      </c>
    </row>
    <row r="33" spans="1:9" x14ac:dyDescent="0.3">
      <c r="A33" s="24" t="s">
        <v>109</v>
      </c>
      <c r="B33" s="25"/>
      <c r="C33" s="25"/>
      <c r="D33" s="25">
        <v>1920000</v>
      </c>
      <c r="E33" s="25"/>
      <c r="F33" s="25"/>
      <c r="G33" s="25"/>
      <c r="H33" s="25"/>
      <c r="I33" s="25">
        <v>1920000</v>
      </c>
    </row>
    <row r="34" spans="1:9" x14ac:dyDescent="0.3">
      <c r="A34" s="24" t="s">
        <v>110</v>
      </c>
      <c r="B34" s="25"/>
      <c r="C34" s="25"/>
      <c r="D34" s="25">
        <v>780000</v>
      </c>
      <c r="E34" s="25"/>
      <c r="F34" s="25"/>
      <c r="G34" s="25"/>
      <c r="H34" s="25"/>
      <c r="I34" s="25">
        <v>780000</v>
      </c>
    </row>
    <row r="35" spans="1:9" x14ac:dyDescent="0.3">
      <c r="A35" s="24" t="s">
        <v>113</v>
      </c>
      <c r="B35" s="25"/>
      <c r="C35" s="25"/>
      <c r="D35" s="25">
        <v>457200</v>
      </c>
      <c r="E35" s="25"/>
      <c r="F35" s="25"/>
      <c r="G35" s="25"/>
      <c r="H35" s="25"/>
      <c r="I35" s="25">
        <v>457200</v>
      </c>
    </row>
    <row r="36" spans="1:9" x14ac:dyDescent="0.3">
      <c r="A36" s="24" t="s">
        <v>116</v>
      </c>
      <c r="B36" s="25"/>
      <c r="C36" s="25">
        <v>171861.03</v>
      </c>
      <c r="D36" s="25"/>
      <c r="E36" s="25"/>
      <c r="F36" s="25"/>
      <c r="G36" s="25"/>
      <c r="H36" s="25"/>
      <c r="I36" s="25">
        <v>171861.03</v>
      </c>
    </row>
    <row r="37" spans="1:9" x14ac:dyDescent="0.3">
      <c r="A37" s="24" t="s">
        <v>118</v>
      </c>
      <c r="B37" s="25"/>
      <c r="C37" s="25">
        <v>171861.03</v>
      </c>
      <c r="D37" s="25"/>
      <c r="E37" s="25"/>
      <c r="F37" s="25"/>
      <c r="G37" s="25"/>
      <c r="H37" s="25"/>
      <c r="I37" s="25">
        <v>171861.03</v>
      </c>
    </row>
    <row r="38" spans="1:9" x14ac:dyDescent="0.3">
      <c r="A38" s="24" t="s">
        <v>121</v>
      </c>
      <c r="B38" s="25"/>
      <c r="C38" s="25"/>
      <c r="D38" s="25"/>
      <c r="E38" s="25">
        <v>1150000</v>
      </c>
      <c r="F38" s="25"/>
      <c r="G38" s="25"/>
      <c r="H38" s="25"/>
      <c r="I38" s="25">
        <v>1150000</v>
      </c>
    </row>
    <row r="39" spans="1:9" ht="148.5" x14ac:dyDescent="0.3">
      <c r="A39" s="24" t="s">
        <v>122</v>
      </c>
      <c r="B39" s="25"/>
      <c r="C39" s="25"/>
      <c r="D39" s="25"/>
      <c r="E39" s="25">
        <v>1150000</v>
      </c>
      <c r="F39" s="25"/>
      <c r="G39" s="25"/>
      <c r="H39" s="25"/>
      <c r="I39" s="25">
        <v>1150000</v>
      </c>
    </row>
    <row r="40" spans="1:9" x14ac:dyDescent="0.3">
      <c r="A40" s="24" t="s">
        <v>124</v>
      </c>
      <c r="B40" s="25"/>
      <c r="C40" s="25"/>
      <c r="D40" s="25"/>
      <c r="E40" s="25">
        <v>142900</v>
      </c>
      <c r="F40" s="25"/>
      <c r="G40" s="25"/>
      <c r="H40" s="25"/>
      <c r="I40" s="25">
        <v>142900</v>
      </c>
    </row>
    <row r="41" spans="1:9" x14ac:dyDescent="0.3">
      <c r="A41" s="24" t="s">
        <v>126</v>
      </c>
      <c r="B41" s="25"/>
      <c r="C41" s="25"/>
      <c r="D41" s="25"/>
      <c r="E41" s="25">
        <v>6750</v>
      </c>
      <c r="F41" s="25"/>
      <c r="G41" s="25"/>
      <c r="H41" s="25"/>
      <c r="I41" s="25">
        <v>6750</v>
      </c>
    </row>
    <row r="42" spans="1:9" x14ac:dyDescent="0.3">
      <c r="A42" s="24" t="s">
        <v>125</v>
      </c>
      <c r="B42" s="25"/>
      <c r="C42" s="25"/>
      <c r="D42" s="25"/>
      <c r="E42" s="25">
        <v>3100</v>
      </c>
      <c r="F42" s="25"/>
      <c r="G42" s="25"/>
      <c r="H42" s="25"/>
      <c r="I42" s="25">
        <v>3100</v>
      </c>
    </row>
    <row r="43" spans="1:9" x14ac:dyDescent="0.3">
      <c r="A43" s="24" t="s">
        <v>132</v>
      </c>
      <c r="B43" s="25"/>
      <c r="C43" s="25"/>
      <c r="D43" s="25"/>
      <c r="E43" s="25">
        <v>8325</v>
      </c>
      <c r="F43" s="25"/>
      <c r="G43" s="25"/>
      <c r="H43" s="25"/>
      <c r="I43" s="25">
        <v>8325</v>
      </c>
    </row>
    <row r="44" spans="1:9" x14ac:dyDescent="0.3">
      <c r="A44" s="24" t="s">
        <v>131</v>
      </c>
      <c r="B44" s="25"/>
      <c r="C44" s="25"/>
      <c r="D44" s="25"/>
      <c r="E44" s="25">
        <v>4250</v>
      </c>
      <c r="F44" s="25"/>
      <c r="G44" s="25"/>
      <c r="H44" s="25"/>
      <c r="I44" s="25">
        <v>4250</v>
      </c>
    </row>
    <row r="45" spans="1:9" x14ac:dyDescent="0.3">
      <c r="A45" s="24" t="s">
        <v>128</v>
      </c>
      <c r="B45" s="25"/>
      <c r="C45" s="25"/>
      <c r="D45" s="25"/>
      <c r="E45" s="25">
        <v>41400</v>
      </c>
      <c r="F45" s="25"/>
      <c r="G45" s="25"/>
      <c r="H45" s="25"/>
      <c r="I45" s="25">
        <v>41400</v>
      </c>
    </row>
    <row r="46" spans="1:9" x14ac:dyDescent="0.3">
      <c r="A46" s="24" t="s">
        <v>134</v>
      </c>
      <c r="B46" s="25"/>
      <c r="C46" s="25"/>
      <c r="D46" s="25"/>
      <c r="E46" s="25">
        <v>6600</v>
      </c>
      <c r="F46" s="25"/>
      <c r="G46" s="25"/>
      <c r="H46" s="25"/>
      <c r="I46" s="25">
        <v>6600</v>
      </c>
    </row>
    <row r="47" spans="1:9" x14ac:dyDescent="0.3">
      <c r="A47" s="24" t="s">
        <v>133</v>
      </c>
      <c r="B47" s="25"/>
      <c r="C47" s="25"/>
      <c r="D47" s="25"/>
      <c r="E47" s="25">
        <v>16200</v>
      </c>
      <c r="F47" s="25"/>
      <c r="G47" s="25"/>
      <c r="H47" s="25"/>
      <c r="I47" s="25">
        <v>16200</v>
      </c>
    </row>
    <row r="48" spans="1:9" x14ac:dyDescent="0.3">
      <c r="A48" s="24" t="s">
        <v>127</v>
      </c>
      <c r="B48" s="25"/>
      <c r="C48" s="25"/>
      <c r="D48" s="25"/>
      <c r="E48" s="25">
        <v>27300</v>
      </c>
      <c r="F48" s="25"/>
      <c r="G48" s="25"/>
      <c r="H48" s="25"/>
      <c r="I48" s="25">
        <v>27300</v>
      </c>
    </row>
    <row r="49" spans="1:9" x14ac:dyDescent="0.3">
      <c r="A49" s="24" t="s">
        <v>129</v>
      </c>
      <c r="B49" s="25"/>
      <c r="C49" s="25"/>
      <c r="D49" s="25"/>
      <c r="E49" s="25">
        <v>11875</v>
      </c>
      <c r="F49" s="25"/>
      <c r="G49" s="25"/>
      <c r="H49" s="25"/>
      <c r="I49" s="25">
        <v>11875</v>
      </c>
    </row>
    <row r="50" spans="1:9" x14ac:dyDescent="0.3">
      <c r="A50" s="24" t="s">
        <v>130</v>
      </c>
      <c r="B50" s="25"/>
      <c r="C50" s="25"/>
      <c r="D50" s="25"/>
      <c r="E50" s="25">
        <v>17100</v>
      </c>
      <c r="F50" s="25"/>
      <c r="G50" s="25"/>
      <c r="H50" s="25"/>
      <c r="I50" s="25">
        <v>17100</v>
      </c>
    </row>
    <row r="51" spans="1:9" x14ac:dyDescent="0.3">
      <c r="A51" s="24" t="s">
        <v>136</v>
      </c>
      <c r="B51" s="25"/>
      <c r="C51" s="25"/>
      <c r="D51" s="25">
        <v>33980</v>
      </c>
      <c r="E51" s="25"/>
      <c r="F51" s="25"/>
      <c r="G51" s="25"/>
      <c r="H51" s="25"/>
      <c r="I51" s="25">
        <v>33980</v>
      </c>
    </row>
    <row r="52" spans="1:9" x14ac:dyDescent="0.3">
      <c r="A52" s="24" t="s">
        <v>430</v>
      </c>
      <c r="B52" s="25"/>
      <c r="C52" s="25"/>
      <c r="D52" s="25">
        <v>6700</v>
      </c>
      <c r="E52" s="25"/>
      <c r="F52" s="25"/>
      <c r="G52" s="25"/>
      <c r="H52" s="25"/>
      <c r="I52" s="25">
        <v>6700</v>
      </c>
    </row>
    <row r="53" spans="1:9" x14ac:dyDescent="0.3">
      <c r="A53" s="24" t="s">
        <v>428</v>
      </c>
      <c r="B53" s="25"/>
      <c r="C53" s="25"/>
      <c r="D53" s="25">
        <v>2000</v>
      </c>
      <c r="E53" s="25"/>
      <c r="F53" s="25"/>
      <c r="G53" s="25"/>
      <c r="H53" s="25"/>
      <c r="I53" s="25">
        <v>2000</v>
      </c>
    </row>
    <row r="54" spans="1:9" x14ac:dyDescent="0.3">
      <c r="A54" s="24" t="s">
        <v>138</v>
      </c>
      <c r="B54" s="25"/>
      <c r="C54" s="25"/>
      <c r="D54" s="25">
        <v>500</v>
      </c>
      <c r="E54" s="25"/>
      <c r="F54" s="25"/>
      <c r="G54" s="25"/>
      <c r="H54" s="25"/>
      <c r="I54" s="25">
        <v>500</v>
      </c>
    </row>
    <row r="55" spans="1:9" x14ac:dyDescent="0.3">
      <c r="A55" s="24" t="s">
        <v>137</v>
      </c>
      <c r="B55" s="25"/>
      <c r="C55" s="25"/>
      <c r="D55" s="25">
        <v>5440</v>
      </c>
      <c r="E55" s="25"/>
      <c r="F55" s="25"/>
      <c r="G55" s="25"/>
      <c r="H55" s="25"/>
      <c r="I55" s="25">
        <v>5440</v>
      </c>
    </row>
    <row r="56" spans="1:9" x14ac:dyDescent="0.3">
      <c r="A56" s="24" t="s">
        <v>139</v>
      </c>
      <c r="B56" s="25"/>
      <c r="C56" s="25"/>
      <c r="D56" s="25">
        <v>600</v>
      </c>
      <c r="E56" s="25"/>
      <c r="F56" s="25"/>
      <c r="G56" s="25"/>
      <c r="H56" s="25"/>
      <c r="I56" s="25">
        <v>600</v>
      </c>
    </row>
    <row r="57" spans="1:9" x14ac:dyDescent="0.3">
      <c r="A57" s="24" t="s">
        <v>141</v>
      </c>
      <c r="B57" s="25"/>
      <c r="C57" s="25"/>
      <c r="D57" s="25">
        <v>16320</v>
      </c>
      <c r="E57" s="25"/>
      <c r="F57" s="25"/>
      <c r="G57" s="25"/>
      <c r="H57" s="25"/>
      <c r="I57" s="25">
        <v>16320</v>
      </c>
    </row>
    <row r="58" spans="1:9" x14ac:dyDescent="0.3">
      <c r="A58" s="24" t="s">
        <v>140</v>
      </c>
      <c r="B58" s="25"/>
      <c r="C58" s="25"/>
      <c r="D58" s="25">
        <v>450</v>
      </c>
      <c r="E58" s="25"/>
      <c r="F58" s="25"/>
      <c r="G58" s="25"/>
      <c r="H58" s="25"/>
      <c r="I58" s="25">
        <v>450</v>
      </c>
    </row>
    <row r="59" spans="1:9" x14ac:dyDescent="0.3">
      <c r="A59" s="24" t="s">
        <v>429</v>
      </c>
      <c r="B59" s="25"/>
      <c r="C59" s="25"/>
      <c r="D59" s="25">
        <v>1900</v>
      </c>
      <c r="E59" s="25"/>
      <c r="F59" s="25"/>
      <c r="G59" s="25"/>
      <c r="H59" s="25"/>
      <c r="I59" s="25">
        <v>1900</v>
      </c>
    </row>
    <row r="60" spans="1:9" x14ac:dyDescent="0.3">
      <c r="A60" s="24" t="s">
        <v>217</v>
      </c>
      <c r="B60" s="25"/>
      <c r="C60" s="25"/>
      <c r="D60" s="25">
        <v>70</v>
      </c>
      <c r="E60" s="25"/>
      <c r="F60" s="25"/>
      <c r="G60" s="25"/>
      <c r="H60" s="25"/>
      <c r="I60" s="25">
        <v>70</v>
      </c>
    </row>
    <row r="61" spans="1:9" x14ac:dyDescent="0.3">
      <c r="A61" s="24" t="s">
        <v>153</v>
      </c>
      <c r="B61" s="25"/>
      <c r="C61" s="25"/>
      <c r="D61" s="25">
        <v>20000</v>
      </c>
      <c r="E61" s="25"/>
      <c r="F61" s="25"/>
      <c r="G61" s="25"/>
      <c r="H61" s="25"/>
      <c r="I61" s="25">
        <v>20000</v>
      </c>
    </row>
    <row r="62" spans="1:9" x14ac:dyDescent="0.3">
      <c r="A62" s="24" t="s">
        <v>155</v>
      </c>
      <c r="B62" s="25"/>
      <c r="C62" s="25"/>
      <c r="D62" s="25">
        <v>20000</v>
      </c>
      <c r="E62" s="25"/>
      <c r="F62" s="25"/>
      <c r="G62" s="25"/>
      <c r="H62" s="25"/>
      <c r="I62" s="25">
        <v>20000</v>
      </c>
    </row>
    <row r="63" spans="1:9" x14ac:dyDescent="0.3">
      <c r="A63" s="24" t="s">
        <v>224</v>
      </c>
      <c r="B63" s="25"/>
      <c r="C63" s="25"/>
      <c r="D63" s="25"/>
      <c r="E63" s="25"/>
      <c r="F63" s="25">
        <v>32450</v>
      </c>
      <c r="G63" s="25"/>
      <c r="H63" s="25"/>
      <c r="I63" s="25">
        <v>32450</v>
      </c>
    </row>
    <row r="64" spans="1:9" x14ac:dyDescent="0.3">
      <c r="A64" s="24" t="s">
        <v>161</v>
      </c>
      <c r="B64" s="25"/>
      <c r="C64" s="25"/>
      <c r="D64" s="25"/>
      <c r="E64" s="25"/>
      <c r="F64" s="25">
        <v>9500</v>
      </c>
      <c r="G64" s="25"/>
      <c r="H64" s="25"/>
      <c r="I64" s="25">
        <v>9500</v>
      </c>
    </row>
    <row r="65" spans="1:9" x14ac:dyDescent="0.3">
      <c r="A65" s="24" t="s">
        <v>159</v>
      </c>
      <c r="B65" s="25"/>
      <c r="C65" s="25"/>
      <c r="D65" s="25"/>
      <c r="E65" s="25"/>
      <c r="F65" s="25">
        <v>3360</v>
      </c>
      <c r="G65" s="25"/>
      <c r="H65" s="25"/>
      <c r="I65" s="25">
        <v>3360</v>
      </c>
    </row>
    <row r="66" spans="1:9" x14ac:dyDescent="0.3">
      <c r="A66" s="24" t="s">
        <v>160</v>
      </c>
      <c r="B66" s="25"/>
      <c r="C66" s="25"/>
      <c r="D66" s="25"/>
      <c r="E66" s="25"/>
      <c r="F66" s="25">
        <v>1140</v>
      </c>
      <c r="G66" s="25"/>
      <c r="H66" s="25"/>
      <c r="I66" s="25">
        <v>1140</v>
      </c>
    </row>
    <row r="67" spans="1:9" x14ac:dyDescent="0.3">
      <c r="A67" s="24" t="s">
        <v>158</v>
      </c>
      <c r="B67" s="25"/>
      <c r="C67" s="25"/>
      <c r="D67" s="25"/>
      <c r="E67" s="25"/>
      <c r="F67" s="25">
        <v>18450</v>
      </c>
      <c r="G67" s="25"/>
      <c r="H67" s="25"/>
      <c r="I67" s="25">
        <v>18450</v>
      </c>
    </row>
    <row r="68" spans="1:9" x14ac:dyDescent="0.3">
      <c r="A68" s="24" t="s">
        <v>164</v>
      </c>
      <c r="B68" s="25"/>
      <c r="C68" s="25"/>
      <c r="D68" s="25"/>
      <c r="E68" s="25">
        <v>150543.83000000002</v>
      </c>
      <c r="F68" s="25">
        <v>8700</v>
      </c>
      <c r="G68" s="25"/>
      <c r="H68" s="25"/>
      <c r="I68" s="25">
        <v>159243.83000000002</v>
      </c>
    </row>
    <row r="69" spans="1:9" x14ac:dyDescent="0.3">
      <c r="A69" s="24" t="s">
        <v>169</v>
      </c>
      <c r="B69" s="25"/>
      <c r="C69" s="25"/>
      <c r="D69" s="25"/>
      <c r="E69" s="25">
        <v>6400</v>
      </c>
      <c r="F69" s="25"/>
      <c r="G69" s="25"/>
      <c r="H69" s="25"/>
      <c r="I69" s="25">
        <v>6400</v>
      </c>
    </row>
    <row r="70" spans="1:9" x14ac:dyDescent="0.3">
      <c r="A70" s="24" t="s">
        <v>167</v>
      </c>
      <c r="B70" s="25"/>
      <c r="C70" s="25"/>
      <c r="D70" s="25"/>
      <c r="E70" s="25">
        <v>39510</v>
      </c>
      <c r="F70" s="25"/>
      <c r="G70" s="25"/>
      <c r="H70" s="25"/>
      <c r="I70" s="25">
        <v>39510</v>
      </c>
    </row>
    <row r="71" spans="1:9" x14ac:dyDescent="0.3">
      <c r="A71" s="24" t="s">
        <v>172</v>
      </c>
      <c r="B71" s="25"/>
      <c r="C71" s="25"/>
      <c r="D71" s="25"/>
      <c r="E71" s="25">
        <v>35173.83</v>
      </c>
      <c r="F71" s="25"/>
      <c r="G71" s="25"/>
      <c r="H71" s="25"/>
      <c r="I71" s="25">
        <v>35173.83</v>
      </c>
    </row>
    <row r="72" spans="1:9" x14ac:dyDescent="0.3">
      <c r="A72" s="24" t="s">
        <v>166</v>
      </c>
      <c r="B72" s="25"/>
      <c r="C72" s="25"/>
      <c r="D72" s="25"/>
      <c r="E72" s="25">
        <v>1000</v>
      </c>
      <c r="F72" s="25"/>
      <c r="G72" s="25"/>
      <c r="H72" s="25"/>
      <c r="I72" s="25">
        <v>1000</v>
      </c>
    </row>
    <row r="73" spans="1:9" ht="33" x14ac:dyDescent="0.3">
      <c r="A73" s="24" t="s">
        <v>171</v>
      </c>
      <c r="B73" s="25"/>
      <c r="C73" s="25"/>
      <c r="D73" s="25"/>
      <c r="E73" s="25">
        <v>8550</v>
      </c>
      <c r="F73" s="25"/>
      <c r="G73" s="25"/>
      <c r="H73" s="25"/>
      <c r="I73" s="25">
        <v>8550</v>
      </c>
    </row>
    <row r="74" spans="1:9" x14ac:dyDescent="0.3">
      <c r="A74" s="24" t="s">
        <v>168</v>
      </c>
      <c r="B74" s="25"/>
      <c r="C74" s="25"/>
      <c r="D74" s="25"/>
      <c r="E74" s="25">
        <v>11310</v>
      </c>
      <c r="F74" s="25"/>
      <c r="G74" s="25"/>
      <c r="H74" s="25"/>
      <c r="I74" s="25">
        <v>11310</v>
      </c>
    </row>
    <row r="75" spans="1:9" x14ac:dyDescent="0.3">
      <c r="A75" s="24" t="s">
        <v>165</v>
      </c>
      <c r="B75" s="25"/>
      <c r="C75" s="25"/>
      <c r="D75" s="25"/>
      <c r="E75" s="25"/>
      <c r="F75" s="25">
        <v>8700</v>
      </c>
      <c r="G75" s="25"/>
      <c r="H75" s="25"/>
      <c r="I75" s="25">
        <v>8700</v>
      </c>
    </row>
    <row r="76" spans="1:9" x14ac:dyDescent="0.3">
      <c r="A76" s="24" t="s">
        <v>170</v>
      </c>
      <c r="B76" s="25"/>
      <c r="C76" s="25"/>
      <c r="D76" s="25"/>
      <c r="E76" s="25">
        <v>10000</v>
      </c>
      <c r="F76" s="25"/>
      <c r="G76" s="25"/>
      <c r="H76" s="25"/>
      <c r="I76" s="25">
        <v>10000</v>
      </c>
    </row>
    <row r="77" spans="1:9" x14ac:dyDescent="0.3">
      <c r="A77" s="24" t="s">
        <v>173</v>
      </c>
      <c r="B77" s="25"/>
      <c r="C77" s="25"/>
      <c r="D77" s="25"/>
      <c r="E77" s="25">
        <v>38600</v>
      </c>
      <c r="F77" s="25"/>
      <c r="G77" s="25"/>
      <c r="H77" s="25"/>
      <c r="I77" s="25">
        <v>38600</v>
      </c>
    </row>
    <row r="78" spans="1:9" x14ac:dyDescent="0.3">
      <c r="A78" s="24" t="s">
        <v>174</v>
      </c>
      <c r="B78" s="25"/>
      <c r="C78" s="25"/>
      <c r="D78" s="25"/>
      <c r="E78" s="25">
        <v>129152</v>
      </c>
      <c r="F78" s="25"/>
      <c r="G78" s="25"/>
      <c r="H78" s="25"/>
      <c r="I78" s="25">
        <v>129152</v>
      </c>
    </row>
    <row r="79" spans="1:9" x14ac:dyDescent="0.3">
      <c r="A79" s="24" t="s">
        <v>176</v>
      </c>
      <c r="B79" s="25"/>
      <c r="C79" s="25"/>
      <c r="D79" s="25"/>
      <c r="E79" s="25">
        <v>1080</v>
      </c>
      <c r="F79" s="25"/>
      <c r="G79" s="25"/>
      <c r="H79" s="25"/>
      <c r="I79" s="25">
        <v>1080</v>
      </c>
    </row>
    <row r="80" spans="1:9" x14ac:dyDescent="0.3">
      <c r="A80" s="24" t="s">
        <v>175</v>
      </c>
      <c r="B80" s="25"/>
      <c r="C80" s="25"/>
      <c r="D80" s="25"/>
      <c r="E80" s="25">
        <v>690</v>
      </c>
      <c r="F80" s="25"/>
      <c r="G80" s="25"/>
      <c r="H80" s="25"/>
      <c r="I80" s="25">
        <v>690</v>
      </c>
    </row>
    <row r="81" spans="1:9" x14ac:dyDescent="0.3">
      <c r="A81" s="24" t="s">
        <v>178</v>
      </c>
      <c r="B81" s="25"/>
      <c r="C81" s="25"/>
      <c r="D81" s="25"/>
      <c r="E81" s="25">
        <v>475</v>
      </c>
      <c r="F81" s="25"/>
      <c r="G81" s="25"/>
      <c r="H81" s="25"/>
      <c r="I81" s="25">
        <v>475</v>
      </c>
    </row>
    <row r="82" spans="1:9" x14ac:dyDescent="0.3">
      <c r="A82" s="24" t="s">
        <v>180</v>
      </c>
      <c r="B82" s="25"/>
      <c r="C82" s="25"/>
      <c r="D82" s="25"/>
      <c r="E82" s="25">
        <v>122500</v>
      </c>
      <c r="F82" s="25"/>
      <c r="G82" s="25"/>
      <c r="H82" s="25"/>
      <c r="I82" s="25">
        <v>122500</v>
      </c>
    </row>
    <row r="83" spans="1:9" x14ac:dyDescent="0.3">
      <c r="A83" s="24" t="s">
        <v>179</v>
      </c>
      <c r="B83" s="25"/>
      <c r="C83" s="25"/>
      <c r="D83" s="25"/>
      <c r="E83" s="25">
        <v>2607</v>
      </c>
      <c r="F83" s="25"/>
      <c r="G83" s="25"/>
      <c r="H83" s="25"/>
      <c r="I83" s="25">
        <v>2607</v>
      </c>
    </row>
    <row r="84" spans="1:9" x14ac:dyDescent="0.3">
      <c r="A84" s="24" t="s">
        <v>177</v>
      </c>
      <c r="B84" s="25"/>
      <c r="C84" s="25"/>
      <c r="D84" s="25"/>
      <c r="E84" s="25">
        <v>1800</v>
      </c>
      <c r="F84" s="25"/>
      <c r="G84" s="25"/>
      <c r="H84" s="25"/>
      <c r="I84" s="25">
        <v>1800</v>
      </c>
    </row>
    <row r="85" spans="1:9" x14ac:dyDescent="0.3">
      <c r="A85" s="24" t="s">
        <v>181</v>
      </c>
      <c r="B85" s="25"/>
      <c r="C85" s="25"/>
      <c r="D85" s="25"/>
      <c r="E85" s="25"/>
      <c r="F85" s="25">
        <v>951886.91</v>
      </c>
      <c r="G85" s="25"/>
      <c r="H85" s="25"/>
      <c r="I85" s="25">
        <v>951886.91</v>
      </c>
    </row>
    <row r="86" spans="1:9" x14ac:dyDescent="0.3">
      <c r="A86" s="24" t="s">
        <v>190</v>
      </c>
      <c r="B86" s="25"/>
      <c r="C86" s="25"/>
      <c r="D86" s="25"/>
      <c r="E86" s="25"/>
      <c r="F86" s="25">
        <v>197550</v>
      </c>
      <c r="G86" s="25"/>
      <c r="H86" s="25"/>
      <c r="I86" s="25">
        <v>197550</v>
      </c>
    </row>
    <row r="87" spans="1:9" x14ac:dyDescent="0.3">
      <c r="A87" s="24" t="s">
        <v>186</v>
      </c>
      <c r="B87" s="25"/>
      <c r="C87" s="25"/>
      <c r="D87" s="25"/>
      <c r="E87" s="25"/>
      <c r="F87" s="25">
        <v>94500</v>
      </c>
      <c r="G87" s="25"/>
      <c r="H87" s="25"/>
      <c r="I87" s="25">
        <v>94500</v>
      </c>
    </row>
    <row r="88" spans="1:9" x14ac:dyDescent="0.3">
      <c r="A88" s="24" t="s">
        <v>361</v>
      </c>
      <c r="B88" s="25"/>
      <c r="C88" s="25"/>
      <c r="D88" s="25"/>
      <c r="E88" s="25"/>
      <c r="F88" s="25">
        <v>120000</v>
      </c>
      <c r="G88" s="25"/>
      <c r="H88" s="25"/>
      <c r="I88" s="25">
        <v>120000</v>
      </c>
    </row>
    <row r="89" spans="1:9" ht="49.5" x14ac:dyDescent="0.3">
      <c r="A89" s="24" t="s">
        <v>366</v>
      </c>
      <c r="B89" s="25"/>
      <c r="C89" s="25"/>
      <c r="D89" s="25"/>
      <c r="E89" s="25"/>
      <c r="F89" s="25">
        <v>19200</v>
      </c>
      <c r="G89" s="25"/>
      <c r="H89" s="25"/>
      <c r="I89" s="25">
        <v>19200</v>
      </c>
    </row>
    <row r="90" spans="1:9" ht="66" x14ac:dyDescent="0.3">
      <c r="A90" s="24" t="s">
        <v>371</v>
      </c>
      <c r="B90" s="25"/>
      <c r="C90" s="25"/>
      <c r="D90" s="25"/>
      <c r="E90" s="25"/>
      <c r="F90" s="25">
        <v>76050</v>
      </c>
      <c r="G90" s="25"/>
      <c r="H90" s="25"/>
      <c r="I90" s="25">
        <v>76050</v>
      </c>
    </row>
    <row r="91" spans="1:9" x14ac:dyDescent="0.3">
      <c r="A91" s="24" t="s">
        <v>188</v>
      </c>
      <c r="B91" s="25"/>
      <c r="C91" s="25"/>
      <c r="D91" s="25"/>
      <c r="E91" s="25"/>
      <c r="F91" s="25">
        <v>14200</v>
      </c>
      <c r="G91" s="25"/>
      <c r="H91" s="25"/>
      <c r="I91" s="25">
        <v>14200</v>
      </c>
    </row>
    <row r="92" spans="1:9" x14ac:dyDescent="0.3">
      <c r="A92" s="24" t="s">
        <v>183</v>
      </c>
      <c r="B92" s="25"/>
      <c r="C92" s="25"/>
      <c r="D92" s="25"/>
      <c r="E92" s="25"/>
      <c r="F92" s="25">
        <v>13200</v>
      </c>
      <c r="G92" s="25"/>
      <c r="H92" s="25"/>
      <c r="I92" s="25">
        <v>13200</v>
      </c>
    </row>
    <row r="93" spans="1:9" x14ac:dyDescent="0.3">
      <c r="A93" s="24" t="s">
        <v>182</v>
      </c>
      <c r="B93" s="25"/>
      <c r="C93" s="25"/>
      <c r="D93" s="25"/>
      <c r="E93" s="25"/>
      <c r="F93" s="25">
        <v>32700</v>
      </c>
      <c r="G93" s="25"/>
      <c r="H93" s="25"/>
      <c r="I93" s="25">
        <v>32700</v>
      </c>
    </row>
    <row r="94" spans="1:9" ht="49.5" x14ac:dyDescent="0.3">
      <c r="A94" s="24" t="s">
        <v>375</v>
      </c>
      <c r="B94" s="25"/>
      <c r="C94" s="25"/>
      <c r="D94" s="25"/>
      <c r="E94" s="25"/>
      <c r="F94" s="25">
        <v>17586.91</v>
      </c>
      <c r="G94" s="25"/>
      <c r="H94" s="25"/>
      <c r="I94" s="25">
        <v>17586.91</v>
      </c>
    </row>
    <row r="95" spans="1:9" x14ac:dyDescent="0.3">
      <c r="A95" s="24" t="s">
        <v>374</v>
      </c>
      <c r="B95" s="25"/>
      <c r="C95" s="25"/>
      <c r="D95" s="25"/>
      <c r="E95" s="25"/>
      <c r="F95" s="25">
        <v>2000</v>
      </c>
      <c r="G95" s="25"/>
      <c r="H95" s="25"/>
      <c r="I95" s="25">
        <v>2000</v>
      </c>
    </row>
    <row r="96" spans="1:9" x14ac:dyDescent="0.3">
      <c r="A96" s="24" t="s">
        <v>187</v>
      </c>
      <c r="B96" s="25"/>
      <c r="C96" s="25"/>
      <c r="D96" s="25"/>
      <c r="E96" s="25"/>
      <c r="F96" s="25">
        <v>39400</v>
      </c>
      <c r="G96" s="25"/>
      <c r="H96" s="25"/>
      <c r="I96" s="25">
        <v>39400</v>
      </c>
    </row>
    <row r="97" spans="1:9" x14ac:dyDescent="0.3">
      <c r="A97" s="24" t="s">
        <v>191</v>
      </c>
      <c r="B97" s="25"/>
      <c r="C97" s="25"/>
      <c r="D97" s="25"/>
      <c r="E97" s="25"/>
      <c r="F97" s="25">
        <v>20200</v>
      </c>
      <c r="G97" s="25"/>
      <c r="H97" s="25"/>
      <c r="I97" s="25">
        <v>20200</v>
      </c>
    </row>
    <row r="98" spans="1:9" x14ac:dyDescent="0.3">
      <c r="A98" s="24" t="s">
        <v>189</v>
      </c>
      <c r="B98" s="25"/>
      <c r="C98" s="25"/>
      <c r="D98" s="25"/>
      <c r="E98" s="25"/>
      <c r="F98" s="25">
        <v>37700</v>
      </c>
      <c r="G98" s="25"/>
      <c r="H98" s="25"/>
      <c r="I98" s="25">
        <v>37700</v>
      </c>
    </row>
    <row r="99" spans="1:9" x14ac:dyDescent="0.3">
      <c r="A99" s="24" t="s">
        <v>184</v>
      </c>
      <c r="B99" s="25"/>
      <c r="C99" s="25"/>
      <c r="D99" s="25"/>
      <c r="E99" s="25"/>
      <c r="F99" s="25">
        <v>4950</v>
      </c>
      <c r="G99" s="25"/>
      <c r="H99" s="25"/>
      <c r="I99" s="25">
        <v>4950</v>
      </c>
    </row>
    <row r="100" spans="1:9" x14ac:dyDescent="0.3">
      <c r="A100" s="24" t="s">
        <v>185</v>
      </c>
      <c r="B100" s="25"/>
      <c r="C100" s="25"/>
      <c r="D100" s="25"/>
      <c r="E100" s="25"/>
      <c r="F100" s="25">
        <v>7250</v>
      </c>
      <c r="G100" s="25"/>
      <c r="H100" s="25"/>
      <c r="I100" s="25">
        <v>7250</v>
      </c>
    </row>
    <row r="101" spans="1:9" x14ac:dyDescent="0.3">
      <c r="A101" s="24" t="s">
        <v>192</v>
      </c>
      <c r="B101" s="25"/>
      <c r="C101" s="25"/>
      <c r="D101" s="25"/>
      <c r="E101" s="25"/>
      <c r="F101" s="25">
        <v>17400</v>
      </c>
      <c r="G101" s="25"/>
      <c r="H101" s="25"/>
      <c r="I101" s="25">
        <v>17400</v>
      </c>
    </row>
    <row r="102" spans="1:9" ht="66" x14ac:dyDescent="0.3">
      <c r="A102" s="24" t="s">
        <v>369</v>
      </c>
      <c r="B102" s="25"/>
      <c r="C102" s="25"/>
      <c r="D102" s="25"/>
      <c r="E102" s="25"/>
      <c r="F102" s="25">
        <v>18000</v>
      </c>
      <c r="G102" s="25"/>
      <c r="H102" s="25"/>
      <c r="I102" s="25">
        <v>18000</v>
      </c>
    </row>
    <row r="103" spans="1:9" ht="49.5" x14ac:dyDescent="0.3">
      <c r="A103" s="24" t="s">
        <v>377</v>
      </c>
      <c r="B103" s="25"/>
      <c r="C103" s="25"/>
      <c r="D103" s="25"/>
      <c r="E103" s="25"/>
      <c r="F103" s="25">
        <v>220000</v>
      </c>
      <c r="G103" s="25"/>
      <c r="H103" s="25"/>
      <c r="I103" s="25">
        <v>220000</v>
      </c>
    </row>
    <row r="104" spans="1:9" x14ac:dyDescent="0.3">
      <c r="A104" s="24" t="s">
        <v>193</v>
      </c>
      <c r="B104" s="25"/>
      <c r="C104" s="25"/>
      <c r="D104" s="25">
        <v>384850.6</v>
      </c>
      <c r="E104" s="25"/>
      <c r="F104" s="25"/>
      <c r="G104" s="25"/>
      <c r="H104" s="25"/>
      <c r="I104" s="25">
        <v>384850.6</v>
      </c>
    </row>
    <row r="105" spans="1:9" ht="49.5" x14ac:dyDescent="0.3">
      <c r="A105" s="24" t="s">
        <v>195</v>
      </c>
      <c r="B105" s="25"/>
      <c r="C105" s="25"/>
      <c r="D105" s="25">
        <v>137500</v>
      </c>
      <c r="E105" s="25"/>
      <c r="F105" s="25"/>
      <c r="G105" s="25"/>
      <c r="H105" s="25"/>
      <c r="I105" s="25">
        <v>137500</v>
      </c>
    </row>
    <row r="106" spans="1:9" ht="66" x14ac:dyDescent="0.3">
      <c r="A106" s="24" t="s">
        <v>196</v>
      </c>
      <c r="B106" s="25"/>
      <c r="C106" s="25"/>
      <c r="D106" s="25">
        <v>64850.6</v>
      </c>
      <c r="E106" s="25"/>
      <c r="F106" s="25"/>
      <c r="G106" s="25"/>
      <c r="H106" s="25"/>
      <c r="I106" s="25">
        <v>64850.6</v>
      </c>
    </row>
    <row r="107" spans="1:9" ht="165" x14ac:dyDescent="0.3">
      <c r="A107" s="24" t="s">
        <v>194</v>
      </c>
      <c r="B107" s="25"/>
      <c r="C107" s="25"/>
      <c r="D107" s="25">
        <v>182500</v>
      </c>
      <c r="E107" s="25"/>
      <c r="F107" s="25"/>
      <c r="G107" s="25"/>
      <c r="H107" s="25"/>
      <c r="I107" s="25">
        <v>182500</v>
      </c>
    </row>
    <row r="108" spans="1:9" x14ac:dyDescent="0.3">
      <c r="A108" s="24" t="s">
        <v>197</v>
      </c>
      <c r="B108" s="25"/>
      <c r="C108" s="25"/>
      <c r="D108" s="25">
        <v>1120983.81</v>
      </c>
      <c r="E108" s="25"/>
      <c r="F108" s="25"/>
      <c r="G108" s="25"/>
      <c r="H108" s="25"/>
      <c r="I108" s="25">
        <v>1120983.81</v>
      </c>
    </row>
    <row r="109" spans="1:9" ht="132" x14ac:dyDescent="0.3">
      <c r="A109" s="24" t="s">
        <v>389</v>
      </c>
      <c r="B109" s="25"/>
      <c r="C109" s="25"/>
      <c r="D109" s="25">
        <v>1120983.81</v>
      </c>
      <c r="E109" s="25"/>
      <c r="F109" s="25"/>
      <c r="G109" s="25"/>
      <c r="H109" s="25"/>
      <c r="I109" s="25">
        <v>1120983.81</v>
      </c>
    </row>
    <row r="110" spans="1:9" x14ac:dyDescent="0.3">
      <c r="A110" s="24" t="s">
        <v>200</v>
      </c>
      <c r="B110" s="25"/>
      <c r="C110" s="25"/>
      <c r="D110" s="25">
        <v>550593.47</v>
      </c>
      <c r="E110" s="25"/>
      <c r="F110" s="25"/>
      <c r="G110" s="25"/>
      <c r="H110" s="25"/>
      <c r="I110" s="25">
        <v>550593.47</v>
      </c>
    </row>
    <row r="111" spans="1:9" ht="66" x14ac:dyDescent="0.3">
      <c r="A111" s="24" t="s">
        <v>390</v>
      </c>
      <c r="B111" s="25"/>
      <c r="C111" s="25"/>
      <c r="D111" s="25">
        <v>550593.47</v>
      </c>
      <c r="E111" s="25"/>
      <c r="F111" s="25"/>
      <c r="G111" s="25"/>
      <c r="H111" s="25"/>
      <c r="I111" s="25">
        <v>550593.47</v>
      </c>
    </row>
    <row r="112" spans="1:9" x14ac:dyDescent="0.3">
      <c r="A112" s="24" t="s">
        <v>233</v>
      </c>
      <c r="B112" s="25"/>
      <c r="C112" s="25"/>
      <c r="D112" s="25">
        <v>965250</v>
      </c>
      <c r="E112" s="25"/>
      <c r="F112" s="25"/>
      <c r="G112" s="25"/>
      <c r="H112" s="25"/>
      <c r="I112" s="25">
        <v>965250</v>
      </c>
    </row>
    <row r="113" spans="1:9" ht="99" x14ac:dyDescent="0.3">
      <c r="A113" s="24" t="s">
        <v>379</v>
      </c>
      <c r="B113" s="25"/>
      <c r="C113" s="25"/>
      <c r="D113" s="25">
        <v>965250</v>
      </c>
      <c r="E113" s="25"/>
      <c r="F113" s="25"/>
      <c r="G113" s="25"/>
      <c r="H113" s="25"/>
      <c r="I113" s="25">
        <v>965250</v>
      </c>
    </row>
    <row r="114" spans="1:9" x14ac:dyDescent="0.3">
      <c r="A114" s="24" t="s">
        <v>234</v>
      </c>
      <c r="B114" s="25"/>
      <c r="C114" s="25"/>
      <c r="D114" s="25">
        <v>38850</v>
      </c>
      <c r="E114" s="25"/>
      <c r="F114" s="25"/>
      <c r="G114" s="25"/>
      <c r="H114" s="25"/>
      <c r="I114" s="25">
        <v>38850</v>
      </c>
    </row>
    <row r="115" spans="1:9" x14ac:dyDescent="0.3">
      <c r="A115" s="24" t="s">
        <v>237</v>
      </c>
      <c r="B115" s="25"/>
      <c r="C115" s="25"/>
      <c r="D115" s="25">
        <v>22200</v>
      </c>
      <c r="E115" s="25"/>
      <c r="F115" s="25"/>
      <c r="G115" s="25"/>
      <c r="H115" s="25"/>
      <c r="I115" s="25">
        <v>22200</v>
      </c>
    </row>
    <row r="116" spans="1:9" x14ac:dyDescent="0.3">
      <c r="A116" s="24" t="s">
        <v>238</v>
      </c>
      <c r="B116" s="25"/>
      <c r="C116" s="25"/>
      <c r="D116" s="25">
        <v>16650</v>
      </c>
      <c r="E116" s="25"/>
      <c r="F116" s="25"/>
      <c r="G116" s="25"/>
      <c r="H116" s="25"/>
      <c r="I116" s="25">
        <v>16650</v>
      </c>
    </row>
    <row r="117" spans="1:9" x14ac:dyDescent="0.3">
      <c r="A117" s="24" t="s">
        <v>239</v>
      </c>
      <c r="B117" s="25"/>
      <c r="C117" s="25"/>
      <c r="D117" s="25">
        <v>23000</v>
      </c>
      <c r="E117" s="25"/>
      <c r="F117" s="25"/>
      <c r="G117" s="25"/>
      <c r="H117" s="25"/>
      <c r="I117" s="25">
        <v>23000</v>
      </c>
    </row>
    <row r="118" spans="1:9" x14ac:dyDescent="0.3">
      <c r="A118" s="24" t="s">
        <v>241</v>
      </c>
      <c r="B118" s="25"/>
      <c r="C118" s="25"/>
      <c r="D118" s="25">
        <v>23000</v>
      </c>
      <c r="E118" s="25"/>
      <c r="F118" s="25"/>
      <c r="G118" s="25"/>
      <c r="H118" s="25"/>
      <c r="I118" s="25">
        <v>23000</v>
      </c>
    </row>
    <row r="119" spans="1:9" x14ac:dyDescent="0.3">
      <c r="A119" s="24" t="s">
        <v>242</v>
      </c>
      <c r="B119" s="25"/>
      <c r="C119" s="25"/>
      <c r="D119" s="25">
        <v>33000</v>
      </c>
      <c r="E119" s="25"/>
      <c r="F119" s="25"/>
      <c r="G119" s="25"/>
      <c r="H119" s="25"/>
      <c r="I119" s="25">
        <v>33000</v>
      </c>
    </row>
    <row r="120" spans="1:9" ht="33" x14ac:dyDescent="0.3">
      <c r="A120" s="24" t="s">
        <v>243</v>
      </c>
      <c r="B120" s="25"/>
      <c r="C120" s="25"/>
      <c r="D120" s="25">
        <v>33000</v>
      </c>
      <c r="E120" s="25"/>
      <c r="F120" s="25"/>
      <c r="G120" s="25"/>
      <c r="H120" s="25"/>
      <c r="I120" s="25">
        <v>33000</v>
      </c>
    </row>
    <row r="121" spans="1:9" x14ac:dyDescent="0.3">
      <c r="A121" s="24" t="s">
        <v>246</v>
      </c>
      <c r="B121" s="25"/>
      <c r="C121" s="25">
        <v>702600</v>
      </c>
      <c r="D121" s="25"/>
      <c r="E121" s="25"/>
      <c r="F121" s="25"/>
      <c r="G121" s="25"/>
      <c r="H121" s="25"/>
      <c r="I121" s="25">
        <v>702600</v>
      </c>
    </row>
    <row r="122" spans="1:9" ht="33" x14ac:dyDescent="0.3">
      <c r="A122" s="24" t="s">
        <v>455</v>
      </c>
      <c r="B122" s="25"/>
      <c r="C122" s="25">
        <v>619200</v>
      </c>
      <c r="D122" s="25"/>
      <c r="E122" s="25"/>
      <c r="F122" s="25"/>
      <c r="G122" s="25"/>
      <c r="H122" s="25"/>
      <c r="I122" s="25">
        <v>619200</v>
      </c>
    </row>
    <row r="123" spans="1:9" ht="99" x14ac:dyDescent="0.3">
      <c r="A123" s="24" t="s">
        <v>382</v>
      </c>
      <c r="B123" s="25"/>
      <c r="C123" s="25">
        <v>83400</v>
      </c>
      <c r="D123" s="25"/>
      <c r="E123" s="25"/>
      <c r="F123" s="25"/>
      <c r="G123" s="25"/>
      <c r="H123" s="25"/>
      <c r="I123" s="25">
        <v>83400</v>
      </c>
    </row>
    <row r="124" spans="1:9" x14ac:dyDescent="0.3">
      <c r="A124" s="24" t="s">
        <v>247</v>
      </c>
      <c r="B124" s="25"/>
      <c r="C124" s="25"/>
      <c r="D124" s="25"/>
      <c r="E124" s="25">
        <v>7500</v>
      </c>
      <c r="F124" s="25"/>
      <c r="G124" s="25"/>
      <c r="H124" s="25"/>
      <c r="I124" s="25">
        <v>7500</v>
      </c>
    </row>
    <row r="125" spans="1:9" x14ac:dyDescent="0.3">
      <c r="A125" s="24" t="s">
        <v>254</v>
      </c>
      <c r="B125" s="25"/>
      <c r="C125" s="25"/>
      <c r="D125" s="25"/>
      <c r="E125" s="25">
        <v>600</v>
      </c>
      <c r="F125" s="25"/>
      <c r="G125" s="25"/>
      <c r="H125" s="25"/>
      <c r="I125" s="25">
        <v>600</v>
      </c>
    </row>
    <row r="126" spans="1:9" x14ac:dyDescent="0.3">
      <c r="A126" s="24" t="s">
        <v>253</v>
      </c>
      <c r="B126" s="25"/>
      <c r="C126" s="25"/>
      <c r="D126" s="25"/>
      <c r="E126" s="25">
        <v>600</v>
      </c>
      <c r="F126" s="25"/>
      <c r="G126" s="25"/>
      <c r="H126" s="25"/>
      <c r="I126" s="25">
        <v>600</v>
      </c>
    </row>
    <row r="127" spans="1:9" x14ac:dyDescent="0.3">
      <c r="A127" s="24" t="s">
        <v>252</v>
      </c>
      <c r="B127" s="25"/>
      <c r="C127" s="25"/>
      <c r="D127" s="25"/>
      <c r="E127" s="25">
        <v>600</v>
      </c>
      <c r="F127" s="25"/>
      <c r="G127" s="25"/>
      <c r="H127" s="25"/>
      <c r="I127" s="25">
        <v>600</v>
      </c>
    </row>
    <row r="128" spans="1:9" x14ac:dyDescent="0.3">
      <c r="A128" s="24" t="s">
        <v>251</v>
      </c>
      <c r="B128" s="25"/>
      <c r="C128" s="25"/>
      <c r="D128" s="25"/>
      <c r="E128" s="25">
        <v>600</v>
      </c>
      <c r="F128" s="25"/>
      <c r="G128" s="25"/>
      <c r="H128" s="25"/>
      <c r="I128" s="25">
        <v>600</v>
      </c>
    </row>
    <row r="129" spans="1:9" ht="33" x14ac:dyDescent="0.3">
      <c r="A129" s="24" t="s">
        <v>259</v>
      </c>
      <c r="B129" s="25"/>
      <c r="C129" s="25"/>
      <c r="D129" s="25"/>
      <c r="E129" s="25">
        <v>1500</v>
      </c>
      <c r="F129" s="25"/>
      <c r="G129" s="25"/>
      <c r="H129" s="25"/>
      <c r="I129" s="25">
        <v>1500</v>
      </c>
    </row>
    <row r="130" spans="1:9" x14ac:dyDescent="0.3">
      <c r="A130" s="24" t="s">
        <v>256</v>
      </c>
      <c r="B130" s="25"/>
      <c r="C130" s="25"/>
      <c r="D130" s="25"/>
      <c r="E130" s="25">
        <v>600</v>
      </c>
      <c r="F130" s="25"/>
      <c r="G130" s="25"/>
      <c r="H130" s="25"/>
      <c r="I130" s="25">
        <v>600</v>
      </c>
    </row>
    <row r="131" spans="1:9" x14ac:dyDescent="0.3">
      <c r="A131" s="24" t="s">
        <v>255</v>
      </c>
      <c r="B131" s="25"/>
      <c r="C131" s="25"/>
      <c r="D131" s="25"/>
      <c r="E131" s="25">
        <v>600</v>
      </c>
      <c r="F131" s="25"/>
      <c r="G131" s="25"/>
      <c r="H131" s="25"/>
      <c r="I131" s="25">
        <v>600</v>
      </c>
    </row>
    <row r="132" spans="1:9" x14ac:dyDescent="0.3">
      <c r="A132" s="24" t="s">
        <v>258</v>
      </c>
      <c r="B132" s="25"/>
      <c r="C132" s="25"/>
      <c r="D132" s="25"/>
      <c r="E132" s="25">
        <v>600</v>
      </c>
      <c r="F132" s="25"/>
      <c r="G132" s="25"/>
      <c r="H132" s="25"/>
      <c r="I132" s="25">
        <v>600</v>
      </c>
    </row>
    <row r="133" spans="1:9" x14ac:dyDescent="0.3">
      <c r="A133" s="24" t="s">
        <v>257</v>
      </c>
      <c r="B133" s="25"/>
      <c r="C133" s="25"/>
      <c r="D133" s="25"/>
      <c r="E133" s="25">
        <v>600</v>
      </c>
      <c r="F133" s="25"/>
      <c r="G133" s="25"/>
      <c r="H133" s="25"/>
      <c r="I133" s="25">
        <v>600</v>
      </c>
    </row>
    <row r="134" spans="1:9" x14ac:dyDescent="0.3">
      <c r="A134" s="24" t="s">
        <v>250</v>
      </c>
      <c r="B134" s="25"/>
      <c r="C134" s="25"/>
      <c r="D134" s="25"/>
      <c r="E134" s="25">
        <v>600</v>
      </c>
      <c r="F134" s="25"/>
      <c r="G134" s="25"/>
      <c r="H134" s="25"/>
      <c r="I134" s="25">
        <v>600</v>
      </c>
    </row>
    <row r="135" spans="1:9" x14ac:dyDescent="0.3">
      <c r="A135" s="24" t="s">
        <v>249</v>
      </c>
      <c r="B135" s="25"/>
      <c r="C135" s="25"/>
      <c r="D135" s="25"/>
      <c r="E135" s="25">
        <v>600</v>
      </c>
      <c r="F135" s="25"/>
      <c r="G135" s="25"/>
      <c r="H135" s="25"/>
      <c r="I135" s="25">
        <v>600</v>
      </c>
    </row>
    <row r="136" spans="1:9" x14ac:dyDescent="0.3">
      <c r="A136" s="24" t="s">
        <v>261</v>
      </c>
      <c r="B136" s="25"/>
      <c r="C136" s="25"/>
      <c r="D136" s="25">
        <v>130553.52</v>
      </c>
      <c r="E136" s="25"/>
      <c r="F136" s="25"/>
      <c r="G136" s="25"/>
      <c r="H136" s="25"/>
      <c r="I136" s="25">
        <v>130553.52</v>
      </c>
    </row>
    <row r="137" spans="1:9" x14ac:dyDescent="0.3">
      <c r="A137" s="24" t="s">
        <v>260</v>
      </c>
      <c r="B137" s="25"/>
      <c r="C137" s="25"/>
      <c r="D137" s="25">
        <v>9263.52</v>
      </c>
      <c r="E137" s="25"/>
      <c r="F137" s="25"/>
      <c r="G137" s="25"/>
      <c r="H137" s="25"/>
      <c r="I137" s="25">
        <v>9263.52</v>
      </c>
    </row>
    <row r="138" spans="1:9" x14ac:dyDescent="0.3">
      <c r="A138" s="24" t="s">
        <v>262</v>
      </c>
      <c r="B138" s="25"/>
      <c r="C138" s="25"/>
      <c r="D138" s="25">
        <v>121290</v>
      </c>
      <c r="E138" s="25"/>
      <c r="F138" s="25"/>
      <c r="G138" s="25"/>
      <c r="H138" s="25"/>
      <c r="I138" s="25">
        <v>121290</v>
      </c>
    </row>
    <row r="139" spans="1:9" x14ac:dyDescent="0.3">
      <c r="A139" s="24" t="s">
        <v>263</v>
      </c>
      <c r="B139" s="25"/>
      <c r="C139" s="25"/>
      <c r="D139" s="25">
        <v>482803.92</v>
      </c>
      <c r="E139" s="25"/>
      <c r="F139" s="25"/>
      <c r="G139" s="25"/>
      <c r="H139" s="25"/>
      <c r="I139" s="25">
        <v>482803.92</v>
      </c>
    </row>
    <row r="140" spans="1:9" x14ac:dyDescent="0.3">
      <c r="A140" s="24" t="s">
        <v>264</v>
      </c>
      <c r="B140" s="25"/>
      <c r="C140" s="25"/>
      <c r="D140" s="25">
        <v>482803.92</v>
      </c>
      <c r="E140" s="25"/>
      <c r="F140" s="25"/>
      <c r="G140" s="25"/>
      <c r="H140" s="25"/>
      <c r="I140" s="25">
        <v>482803.92</v>
      </c>
    </row>
    <row r="141" spans="1:9" x14ac:dyDescent="0.3">
      <c r="A141" s="24" t="s">
        <v>278</v>
      </c>
      <c r="B141" s="25"/>
      <c r="C141" s="25"/>
      <c r="D141" s="25">
        <v>167200</v>
      </c>
      <c r="E141" s="25"/>
      <c r="F141" s="25"/>
      <c r="G141" s="25"/>
      <c r="H141" s="25"/>
      <c r="I141" s="25">
        <v>167200</v>
      </c>
    </row>
    <row r="142" spans="1:9" x14ac:dyDescent="0.3">
      <c r="A142" s="24" t="s">
        <v>285</v>
      </c>
      <c r="B142" s="25"/>
      <c r="C142" s="25"/>
      <c r="D142" s="25">
        <v>2450</v>
      </c>
      <c r="E142" s="25"/>
      <c r="F142" s="25"/>
      <c r="G142" s="25"/>
      <c r="H142" s="25"/>
      <c r="I142" s="25">
        <v>2450</v>
      </c>
    </row>
    <row r="143" spans="1:9" x14ac:dyDescent="0.3">
      <c r="A143" s="24" t="s">
        <v>284</v>
      </c>
      <c r="B143" s="25"/>
      <c r="C143" s="25"/>
      <c r="D143" s="25">
        <v>17500</v>
      </c>
      <c r="E143" s="25"/>
      <c r="F143" s="25"/>
      <c r="G143" s="25"/>
      <c r="H143" s="25"/>
      <c r="I143" s="25">
        <v>17500</v>
      </c>
    </row>
    <row r="144" spans="1:9" x14ac:dyDescent="0.3">
      <c r="A144" s="24" t="s">
        <v>283</v>
      </c>
      <c r="B144" s="25"/>
      <c r="C144" s="25"/>
      <c r="D144" s="25">
        <v>1920</v>
      </c>
      <c r="E144" s="25"/>
      <c r="F144" s="25"/>
      <c r="G144" s="25"/>
      <c r="H144" s="25"/>
      <c r="I144" s="25">
        <v>1920</v>
      </c>
    </row>
    <row r="145" spans="1:9" x14ac:dyDescent="0.3">
      <c r="A145" s="24" t="s">
        <v>282</v>
      </c>
      <c r="B145" s="25"/>
      <c r="C145" s="25"/>
      <c r="D145" s="25">
        <v>3840</v>
      </c>
      <c r="E145" s="25"/>
      <c r="F145" s="25"/>
      <c r="G145" s="25"/>
      <c r="H145" s="25"/>
      <c r="I145" s="25">
        <v>3840</v>
      </c>
    </row>
    <row r="146" spans="1:9" ht="33" x14ac:dyDescent="0.3">
      <c r="A146" s="24" t="s">
        <v>280</v>
      </c>
      <c r="B146" s="25"/>
      <c r="C146" s="25"/>
      <c r="D146" s="25">
        <v>66240</v>
      </c>
      <c r="E146" s="25"/>
      <c r="F146" s="25"/>
      <c r="G146" s="25"/>
      <c r="H146" s="25"/>
      <c r="I146" s="25">
        <v>66240</v>
      </c>
    </row>
    <row r="147" spans="1:9" x14ac:dyDescent="0.3">
      <c r="A147" s="24" t="s">
        <v>279</v>
      </c>
      <c r="B147" s="25"/>
      <c r="C147" s="25"/>
      <c r="D147" s="25">
        <v>66240</v>
      </c>
      <c r="E147" s="25"/>
      <c r="F147" s="25"/>
      <c r="G147" s="25"/>
      <c r="H147" s="25"/>
      <c r="I147" s="25">
        <v>66240</v>
      </c>
    </row>
    <row r="148" spans="1:9" x14ac:dyDescent="0.3">
      <c r="A148" s="24" t="s">
        <v>281</v>
      </c>
      <c r="B148" s="25"/>
      <c r="C148" s="25"/>
      <c r="D148" s="25">
        <v>840</v>
      </c>
      <c r="E148" s="25"/>
      <c r="F148" s="25"/>
      <c r="G148" s="25"/>
      <c r="H148" s="25"/>
      <c r="I148" s="25">
        <v>840</v>
      </c>
    </row>
    <row r="149" spans="1:9" x14ac:dyDescent="0.3">
      <c r="A149" s="24" t="s">
        <v>292</v>
      </c>
      <c r="B149" s="25"/>
      <c r="C149" s="25"/>
      <c r="D149" s="25">
        <v>960</v>
      </c>
      <c r="E149" s="25"/>
      <c r="F149" s="25"/>
      <c r="G149" s="25"/>
      <c r="H149" s="25"/>
      <c r="I149" s="25">
        <v>960</v>
      </c>
    </row>
    <row r="150" spans="1:9" x14ac:dyDescent="0.3">
      <c r="A150" s="24" t="s">
        <v>286</v>
      </c>
      <c r="B150" s="25"/>
      <c r="C150" s="25"/>
      <c r="D150" s="25">
        <v>3150</v>
      </c>
      <c r="E150" s="25"/>
      <c r="F150" s="25"/>
      <c r="G150" s="25"/>
      <c r="H150" s="25"/>
      <c r="I150" s="25">
        <v>3150</v>
      </c>
    </row>
    <row r="151" spans="1:9" x14ac:dyDescent="0.3">
      <c r="A151" s="24" t="s">
        <v>287</v>
      </c>
      <c r="B151" s="25"/>
      <c r="C151" s="25"/>
      <c r="D151" s="25">
        <v>1500</v>
      </c>
      <c r="E151" s="25"/>
      <c r="F151" s="25"/>
      <c r="G151" s="25"/>
      <c r="H151" s="25"/>
      <c r="I151" s="25">
        <v>1500</v>
      </c>
    </row>
    <row r="152" spans="1:9" x14ac:dyDescent="0.3">
      <c r="A152" s="24" t="s">
        <v>289</v>
      </c>
      <c r="B152" s="25"/>
      <c r="C152" s="25"/>
      <c r="D152" s="25">
        <v>180</v>
      </c>
      <c r="E152" s="25"/>
      <c r="F152" s="25"/>
      <c r="G152" s="25"/>
      <c r="H152" s="25"/>
      <c r="I152" s="25">
        <v>180</v>
      </c>
    </row>
    <row r="153" spans="1:9" x14ac:dyDescent="0.3">
      <c r="A153" s="24" t="s">
        <v>290</v>
      </c>
      <c r="B153" s="25"/>
      <c r="C153" s="25"/>
      <c r="D153" s="25">
        <v>480</v>
      </c>
      <c r="E153" s="25"/>
      <c r="F153" s="25"/>
      <c r="G153" s="25"/>
      <c r="H153" s="25"/>
      <c r="I153" s="25">
        <v>480</v>
      </c>
    </row>
    <row r="154" spans="1:9" x14ac:dyDescent="0.3">
      <c r="A154" s="24" t="s">
        <v>291</v>
      </c>
      <c r="B154" s="25"/>
      <c r="C154" s="25"/>
      <c r="D154" s="25">
        <v>700</v>
      </c>
      <c r="E154" s="25"/>
      <c r="F154" s="25"/>
      <c r="G154" s="25"/>
      <c r="H154" s="25"/>
      <c r="I154" s="25">
        <v>700</v>
      </c>
    </row>
    <row r="155" spans="1:9" x14ac:dyDescent="0.3">
      <c r="A155" s="24" t="s">
        <v>288</v>
      </c>
      <c r="B155" s="25"/>
      <c r="C155" s="25"/>
      <c r="D155" s="25">
        <v>1200</v>
      </c>
      <c r="E155" s="25"/>
      <c r="F155" s="25"/>
      <c r="G155" s="25"/>
      <c r="H155" s="25"/>
      <c r="I155" s="25">
        <v>1200</v>
      </c>
    </row>
    <row r="156" spans="1:9" x14ac:dyDescent="0.3">
      <c r="A156" s="24" t="s">
        <v>296</v>
      </c>
      <c r="B156" s="25"/>
      <c r="C156" s="25"/>
      <c r="D156" s="25">
        <v>57000</v>
      </c>
      <c r="E156" s="25"/>
      <c r="F156" s="25"/>
      <c r="G156" s="25"/>
      <c r="H156" s="25"/>
      <c r="I156" s="25">
        <v>57000</v>
      </c>
    </row>
    <row r="157" spans="1:9" x14ac:dyDescent="0.3">
      <c r="A157" s="24" t="s">
        <v>300</v>
      </c>
      <c r="B157" s="25"/>
      <c r="C157" s="25"/>
      <c r="D157" s="25">
        <v>11400</v>
      </c>
      <c r="E157" s="25"/>
      <c r="F157" s="25"/>
      <c r="G157" s="25"/>
      <c r="H157" s="25"/>
      <c r="I157" s="25">
        <v>11400</v>
      </c>
    </row>
    <row r="158" spans="1:9" x14ac:dyDescent="0.3">
      <c r="A158" s="24" t="s">
        <v>301</v>
      </c>
      <c r="B158" s="25"/>
      <c r="C158" s="25"/>
      <c r="D158" s="25">
        <v>20400</v>
      </c>
      <c r="E158" s="25"/>
      <c r="F158" s="25"/>
      <c r="G158" s="25"/>
      <c r="H158" s="25"/>
      <c r="I158" s="25">
        <v>20400</v>
      </c>
    </row>
    <row r="159" spans="1:9" x14ac:dyDescent="0.3">
      <c r="A159" s="24" t="s">
        <v>299</v>
      </c>
      <c r="B159" s="25"/>
      <c r="C159" s="25"/>
      <c r="D159" s="25">
        <v>13200</v>
      </c>
      <c r="E159" s="25"/>
      <c r="F159" s="25"/>
      <c r="G159" s="25"/>
      <c r="H159" s="25"/>
      <c r="I159" s="25">
        <v>13200</v>
      </c>
    </row>
    <row r="160" spans="1:9" x14ac:dyDescent="0.3">
      <c r="A160" s="24" t="s">
        <v>298</v>
      </c>
      <c r="B160" s="25"/>
      <c r="C160" s="25"/>
      <c r="D160" s="25">
        <v>12000</v>
      </c>
      <c r="E160" s="25"/>
      <c r="F160" s="25"/>
      <c r="G160" s="25"/>
      <c r="H160" s="25"/>
      <c r="I160" s="25">
        <v>12000</v>
      </c>
    </row>
    <row r="161" spans="1:9" x14ac:dyDescent="0.3">
      <c r="A161" s="24" t="s">
        <v>302</v>
      </c>
      <c r="B161" s="25"/>
      <c r="C161" s="25"/>
      <c r="D161" s="25">
        <v>1361700</v>
      </c>
      <c r="E161" s="25"/>
      <c r="F161" s="25"/>
      <c r="G161" s="25"/>
      <c r="H161" s="25"/>
      <c r="I161" s="25">
        <v>1361700</v>
      </c>
    </row>
    <row r="162" spans="1:9" x14ac:dyDescent="0.3">
      <c r="A162" s="24" t="s">
        <v>307</v>
      </c>
      <c r="B162" s="25"/>
      <c r="C162" s="25"/>
      <c r="D162" s="25">
        <v>210800</v>
      </c>
      <c r="E162" s="25"/>
      <c r="F162" s="25"/>
      <c r="G162" s="25"/>
      <c r="H162" s="25"/>
      <c r="I162" s="25">
        <v>210800</v>
      </c>
    </row>
    <row r="163" spans="1:9" x14ac:dyDescent="0.3">
      <c r="A163" s="24" t="s">
        <v>313</v>
      </c>
      <c r="B163" s="25"/>
      <c r="C163" s="25"/>
      <c r="D163" s="25">
        <v>42000</v>
      </c>
      <c r="E163" s="25"/>
      <c r="F163" s="25"/>
      <c r="G163" s="25"/>
      <c r="H163" s="25"/>
      <c r="I163" s="25">
        <v>42000</v>
      </c>
    </row>
    <row r="164" spans="1:9" x14ac:dyDescent="0.3">
      <c r="A164" s="24" t="s">
        <v>312</v>
      </c>
      <c r="B164" s="25"/>
      <c r="C164" s="25"/>
      <c r="D164" s="25">
        <v>40800</v>
      </c>
      <c r="E164" s="25"/>
      <c r="F164" s="25"/>
      <c r="G164" s="25"/>
      <c r="H164" s="25"/>
      <c r="I164" s="25">
        <v>40800</v>
      </c>
    </row>
    <row r="165" spans="1:9" x14ac:dyDescent="0.3">
      <c r="A165" s="24" t="s">
        <v>319</v>
      </c>
      <c r="B165" s="25"/>
      <c r="C165" s="25"/>
      <c r="D165" s="25">
        <v>56000</v>
      </c>
      <c r="E165" s="25"/>
      <c r="F165" s="25"/>
      <c r="G165" s="25"/>
      <c r="H165" s="25"/>
      <c r="I165" s="25">
        <v>56000</v>
      </c>
    </row>
    <row r="166" spans="1:9" x14ac:dyDescent="0.3">
      <c r="A166" s="24" t="s">
        <v>317</v>
      </c>
      <c r="B166" s="25"/>
      <c r="C166" s="25"/>
      <c r="D166" s="25">
        <v>48000</v>
      </c>
      <c r="E166" s="25"/>
      <c r="F166" s="25"/>
      <c r="G166" s="25"/>
      <c r="H166" s="25"/>
      <c r="I166" s="25">
        <v>48000</v>
      </c>
    </row>
    <row r="167" spans="1:9" x14ac:dyDescent="0.3">
      <c r="A167" s="24" t="s">
        <v>308</v>
      </c>
      <c r="B167" s="25"/>
      <c r="C167" s="25"/>
      <c r="D167" s="25">
        <v>69000</v>
      </c>
      <c r="E167" s="25"/>
      <c r="F167" s="25"/>
      <c r="G167" s="25"/>
      <c r="H167" s="25"/>
      <c r="I167" s="25">
        <v>69000</v>
      </c>
    </row>
    <row r="168" spans="1:9" x14ac:dyDescent="0.3">
      <c r="A168" s="24" t="s">
        <v>316</v>
      </c>
      <c r="B168" s="25"/>
      <c r="C168" s="25"/>
      <c r="D168" s="25">
        <v>31500</v>
      </c>
      <c r="E168" s="25"/>
      <c r="F168" s="25"/>
      <c r="G168" s="25"/>
      <c r="H168" s="25"/>
      <c r="I168" s="25">
        <v>31500</v>
      </c>
    </row>
    <row r="169" spans="1:9" x14ac:dyDescent="0.3">
      <c r="A169" s="24" t="s">
        <v>309</v>
      </c>
      <c r="B169" s="25"/>
      <c r="C169" s="25"/>
      <c r="D169" s="25">
        <v>174000</v>
      </c>
      <c r="E169" s="25"/>
      <c r="F169" s="25"/>
      <c r="G169" s="25"/>
      <c r="H169" s="25"/>
      <c r="I169" s="25">
        <v>174000</v>
      </c>
    </row>
    <row r="170" spans="1:9" x14ac:dyDescent="0.3">
      <c r="A170" s="24" t="s">
        <v>315</v>
      </c>
      <c r="B170" s="25"/>
      <c r="C170" s="25"/>
      <c r="D170" s="25">
        <v>139200</v>
      </c>
      <c r="E170" s="25"/>
      <c r="F170" s="25"/>
      <c r="G170" s="25"/>
      <c r="H170" s="25"/>
      <c r="I170" s="25">
        <v>139200</v>
      </c>
    </row>
    <row r="171" spans="1:9" x14ac:dyDescent="0.3">
      <c r="A171" s="24" t="s">
        <v>311</v>
      </c>
      <c r="B171" s="25"/>
      <c r="C171" s="25"/>
      <c r="D171" s="25">
        <v>22500</v>
      </c>
      <c r="E171" s="25"/>
      <c r="F171" s="25"/>
      <c r="G171" s="25"/>
      <c r="H171" s="25"/>
      <c r="I171" s="25">
        <v>22500</v>
      </c>
    </row>
    <row r="172" spans="1:9" x14ac:dyDescent="0.3">
      <c r="A172" s="24" t="s">
        <v>314</v>
      </c>
      <c r="B172" s="25"/>
      <c r="C172" s="25"/>
      <c r="D172" s="25">
        <v>65000</v>
      </c>
      <c r="E172" s="25"/>
      <c r="F172" s="25"/>
      <c r="G172" s="25"/>
      <c r="H172" s="25"/>
      <c r="I172" s="25">
        <v>65000</v>
      </c>
    </row>
    <row r="173" spans="1:9" x14ac:dyDescent="0.3">
      <c r="A173" s="24" t="s">
        <v>318</v>
      </c>
      <c r="B173" s="25"/>
      <c r="C173" s="25"/>
      <c r="D173" s="25">
        <v>87500</v>
      </c>
      <c r="E173" s="25"/>
      <c r="F173" s="25"/>
      <c r="G173" s="25"/>
      <c r="H173" s="25"/>
      <c r="I173" s="25">
        <v>87500</v>
      </c>
    </row>
    <row r="174" spans="1:9" x14ac:dyDescent="0.3">
      <c r="A174" s="24" t="s">
        <v>320</v>
      </c>
      <c r="B174" s="25"/>
      <c r="C174" s="25"/>
      <c r="D174" s="25">
        <v>94500</v>
      </c>
      <c r="E174" s="25"/>
      <c r="F174" s="25"/>
      <c r="G174" s="25"/>
      <c r="H174" s="25"/>
      <c r="I174" s="25">
        <v>94500</v>
      </c>
    </row>
    <row r="175" spans="1:9" x14ac:dyDescent="0.3">
      <c r="A175" s="24" t="s">
        <v>304</v>
      </c>
      <c r="B175" s="25"/>
      <c r="C175" s="25"/>
      <c r="D175" s="25">
        <v>119000</v>
      </c>
      <c r="E175" s="25"/>
      <c r="F175" s="25"/>
      <c r="G175" s="25"/>
      <c r="H175" s="25"/>
      <c r="I175" s="25">
        <v>119000</v>
      </c>
    </row>
    <row r="176" spans="1:9" x14ac:dyDescent="0.3">
      <c r="A176" s="24" t="s">
        <v>306</v>
      </c>
      <c r="B176" s="25"/>
      <c r="C176" s="25"/>
      <c r="D176" s="25">
        <v>45000</v>
      </c>
      <c r="E176" s="25"/>
      <c r="F176" s="25"/>
      <c r="G176" s="25"/>
      <c r="H176" s="25"/>
      <c r="I176" s="25">
        <v>45000</v>
      </c>
    </row>
    <row r="177" spans="1:9" x14ac:dyDescent="0.3">
      <c r="A177" s="24" t="s">
        <v>305</v>
      </c>
      <c r="B177" s="25"/>
      <c r="C177" s="25"/>
      <c r="D177" s="25">
        <v>56000</v>
      </c>
      <c r="E177" s="25"/>
      <c r="F177" s="25"/>
      <c r="G177" s="25"/>
      <c r="H177" s="25"/>
      <c r="I177" s="25">
        <v>56000</v>
      </c>
    </row>
    <row r="178" spans="1:9" x14ac:dyDescent="0.3">
      <c r="A178" s="24" t="s">
        <v>310</v>
      </c>
      <c r="B178" s="25"/>
      <c r="C178" s="25"/>
      <c r="D178" s="25">
        <v>60900</v>
      </c>
      <c r="E178" s="25"/>
      <c r="F178" s="25"/>
      <c r="G178" s="25"/>
      <c r="H178" s="25"/>
      <c r="I178" s="25">
        <v>60900</v>
      </c>
    </row>
    <row r="179" spans="1:9" x14ac:dyDescent="0.3">
      <c r="A179" s="24" t="s">
        <v>303</v>
      </c>
      <c r="B179" s="25"/>
      <c r="C179" s="25"/>
      <c r="D179" s="25"/>
      <c r="E179" s="25"/>
      <c r="F179" s="25"/>
      <c r="G179" s="25">
        <v>23000</v>
      </c>
      <c r="H179" s="25"/>
      <c r="I179" s="25">
        <v>23000</v>
      </c>
    </row>
    <row r="180" spans="1:9" x14ac:dyDescent="0.3">
      <c r="A180" s="24" t="s">
        <v>322</v>
      </c>
      <c r="B180" s="25"/>
      <c r="C180" s="25"/>
      <c r="D180" s="25"/>
      <c r="E180" s="25"/>
      <c r="F180" s="25"/>
      <c r="G180" s="25">
        <v>23000</v>
      </c>
      <c r="H180" s="25"/>
      <c r="I180" s="25">
        <v>23000</v>
      </c>
    </row>
    <row r="181" spans="1:9" x14ac:dyDescent="0.3">
      <c r="A181" s="24" t="s">
        <v>323</v>
      </c>
      <c r="B181" s="25"/>
      <c r="C181" s="25"/>
      <c r="D181" s="25">
        <v>93850</v>
      </c>
      <c r="E181" s="25"/>
      <c r="F181" s="25"/>
      <c r="G181" s="25"/>
      <c r="H181" s="25"/>
      <c r="I181" s="25">
        <v>93850</v>
      </c>
    </row>
    <row r="182" spans="1:9" x14ac:dyDescent="0.3">
      <c r="A182" s="24" t="s">
        <v>325</v>
      </c>
      <c r="B182" s="25"/>
      <c r="C182" s="25"/>
      <c r="D182" s="25">
        <v>46000</v>
      </c>
      <c r="E182" s="25"/>
      <c r="F182" s="25"/>
      <c r="G182" s="25"/>
      <c r="H182" s="25"/>
      <c r="I182" s="25">
        <v>46000</v>
      </c>
    </row>
    <row r="183" spans="1:9" x14ac:dyDescent="0.3">
      <c r="A183" s="24" t="s">
        <v>324</v>
      </c>
      <c r="B183" s="25"/>
      <c r="C183" s="25"/>
      <c r="D183" s="25">
        <v>47850</v>
      </c>
      <c r="E183" s="25"/>
      <c r="F183" s="25"/>
      <c r="G183" s="25"/>
      <c r="H183" s="25"/>
      <c r="I183" s="25">
        <v>47850</v>
      </c>
    </row>
    <row r="184" spans="1:9" x14ac:dyDescent="0.3">
      <c r="A184" s="24" t="s">
        <v>326</v>
      </c>
      <c r="B184" s="25"/>
      <c r="C184" s="25"/>
      <c r="D184" s="25">
        <v>27600</v>
      </c>
      <c r="E184" s="25"/>
      <c r="F184" s="25"/>
      <c r="G184" s="25"/>
      <c r="H184" s="25"/>
      <c r="I184" s="25">
        <v>27600</v>
      </c>
    </row>
    <row r="185" spans="1:9" ht="49.5" x14ac:dyDescent="0.3">
      <c r="A185" s="24" t="s">
        <v>328</v>
      </c>
      <c r="B185" s="25"/>
      <c r="C185" s="25"/>
      <c r="D185" s="25">
        <v>6900</v>
      </c>
      <c r="E185" s="25"/>
      <c r="F185" s="25"/>
      <c r="G185" s="25"/>
      <c r="H185" s="25"/>
      <c r="I185" s="25">
        <v>6900</v>
      </c>
    </row>
    <row r="186" spans="1:9" ht="33" x14ac:dyDescent="0.3">
      <c r="A186" s="24" t="s">
        <v>329</v>
      </c>
      <c r="B186" s="25"/>
      <c r="C186" s="25"/>
      <c r="D186" s="25">
        <v>6900</v>
      </c>
      <c r="E186" s="25"/>
      <c r="F186" s="25"/>
      <c r="G186" s="25"/>
      <c r="H186" s="25"/>
      <c r="I186" s="25">
        <v>6900</v>
      </c>
    </row>
    <row r="187" spans="1:9" ht="33" x14ac:dyDescent="0.3">
      <c r="A187" s="24" t="s">
        <v>331</v>
      </c>
      <c r="B187" s="25"/>
      <c r="C187" s="25"/>
      <c r="D187" s="25">
        <v>6900</v>
      </c>
      <c r="E187" s="25"/>
      <c r="F187" s="25"/>
      <c r="G187" s="25"/>
      <c r="H187" s="25"/>
      <c r="I187" s="25">
        <v>6900</v>
      </c>
    </row>
    <row r="188" spans="1:9" ht="33" x14ac:dyDescent="0.3">
      <c r="A188" s="24" t="s">
        <v>330</v>
      </c>
      <c r="B188" s="25"/>
      <c r="C188" s="25"/>
      <c r="D188" s="25">
        <v>6900</v>
      </c>
      <c r="E188" s="25"/>
      <c r="F188" s="25"/>
      <c r="G188" s="25"/>
      <c r="H188" s="25"/>
      <c r="I188" s="25">
        <v>6900</v>
      </c>
    </row>
    <row r="189" spans="1:9" x14ac:dyDescent="0.3">
      <c r="A189" s="24" t="s">
        <v>333</v>
      </c>
      <c r="B189" s="25"/>
      <c r="C189" s="25">
        <v>134875</v>
      </c>
      <c r="D189" s="25"/>
      <c r="E189" s="25"/>
      <c r="F189" s="25"/>
      <c r="G189" s="25"/>
      <c r="H189" s="25"/>
      <c r="I189" s="25">
        <v>134875</v>
      </c>
    </row>
    <row r="190" spans="1:9" x14ac:dyDescent="0.3">
      <c r="A190" s="24" t="s">
        <v>337</v>
      </c>
      <c r="B190" s="25"/>
      <c r="C190" s="25">
        <v>11700</v>
      </c>
      <c r="D190" s="25"/>
      <c r="E190" s="25"/>
      <c r="F190" s="25"/>
      <c r="G190" s="25"/>
      <c r="H190" s="25"/>
      <c r="I190" s="25">
        <v>11700</v>
      </c>
    </row>
    <row r="191" spans="1:9" x14ac:dyDescent="0.3">
      <c r="A191" s="24" t="s">
        <v>336</v>
      </c>
      <c r="B191" s="25"/>
      <c r="C191" s="25">
        <v>24675</v>
      </c>
      <c r="D191" s="25"/>
      <c r="E191" s="25"/>
      <c r="F191" s="25"/>
      <c r="G191" s="25"/>
      <c r="H191" s="25"/>
      <c r="I191" s="25">
        <v>24675</v>
      </c>
    </row>
    <row r="192" spans="1:9" x14ac:dyDescent="0.3">
      <c r="A192" s="24" t="s">
        <v>335</v>
      </c>
      <c r="B192" s="25"/>
      <c r="C192" s="25">
        <v>29500</v>
      </c>
      <c r="D192" s="25"/>
      <c r="E192" s="25"/>
      <c r="F192" s="25"/>
      <c r="G192" s="25"/>
      <c r="H192" s="25"/>
      <c r="I192" s="25">
        <v>29500</v>
      </c>
    </row>
    <row r="193" spans="1:9" x14ac:dyDescent="0.3">
      <c r="A193" s="24" t="s">
        <v>334</v>
      </c>
      <c r="B193" s="25"/>
      <c r="C193" s="25">
        <v>69000</v>
      </c>
      <c r="D193" s="25"/>
      <c r="E193" s="25"/>
      <c r="F193" s="25"/>
      <c r="G193" s="25"/>
      <c r="H193" s="25"/>
      <c r="I193" s="25">
        <v>69000</v>
      </c>
    </row>
    <row r="194" spans="1:9" x14ac:dyDescent="0.3">
      <c r="A194" s="24" t="s">
        <v>395</v>
      </c>
      <c r="B194" s="25"/>
      <c r="C194" s="25"/>
      <c r="D194" s="25"/>
      <c r="E194" s="25"/>
      <c r="F194" s="25"/>
      <c r="G194" s="25">
        <v>11400</v>
      </c>
      <c r="H194" s="25"/>
      <c r="I194" s="25">
        <v>11400</v>
      </c>
    </row>
    <row r="195" spans="1:9" x14ac:dyDescent="0.3">
      <c r="A195" s="24" t="s">
        <v>397</v>
      </c>
      <c r="B195" s="25"/>
      <c r="C195" s="25"/>
      <c r="D195" s="25"/>
      <c r="E195" s="25"/>
      <c r="F195" s="25"/>
      <c r="G195" s="25">
        <v>9000</v>
      </c>
      <c r="H195" s="25"/>
      <c r="I195" s="25">
        <v>9000</v>
      </c>
    </row>
    <row r="196" spans="1:9" x14ac:dyDescent="0.3">
      <c r="A196" s="24" t="s">
        <v>396</v>
      </c>
      <c r="B196" s="25"/>
      <c r="C196" s="25"/>
      <c r="D196" s="25"/>
      <c r="E196" s="25"/>
      <c r="F196" s="25"/>
      <c r="G196" s="25">
        <v>2400</v>
      </c>
      <c r="H196" s="25"/>
      <c r="I196" s="25">
        <v>2400</v>
      </c>
    </row>
    <row r="197" spans="1:9" x14ac:dyDescent="0.3">
      <c r="A197" s="24" t="s">
        <v>400</v>
      </c>
      <c r="B197" s="25"/>
      <c r="C197" s="25"/>
      <c r="D197" s="25"/>
      <c r="E197" s="25"/>
      <c r="F197" s="25"/>
      <c r="G197" s="25">
        <v>23000</v>
      </c>
      <c r="H197" s="25"/>
      <c r="I197" s="25">
        <v>23000</v>
      </c>
    </row>
    <row r="198" spans="1:9" x14ac:dyDescent="0.3">
      <c r="A198" s="24" t="s">
        <v>322</v>
      </c>
      <c r="B198" s="25"/>
      <c r="C198" s="25"/>
      <c r="D198" s="25"/>
      <c r="E198" s="25"/>
      <c r="F198" s="25"/>
      <c r="G198" s="25">
        <v>23000</v>
      </c>
      <c r="H198" s="25"/>
      <c r="I198" s="25">
        <v>23000</v>
      </c>
    </row>
    <row r="199" spans="1:9" x14ac:dyDescent="0.3">
      <c r="A199" s="24" t="s">
        <v>401</v>
      </c>
      <c r="B199" s="25"/>
      <c r="C199" s="25"/>
      <c r="D199" s="25"/>
      <c r="E199" s="25"/>
      <c r="F199" s="25"/>
      <c r="G199" s="25"/>
      <c r="H199" s="25">
        <v>2240000</v>
      </c>
      <c r="I199" s="25">
        <v>2240000</v>
      </c>
    </row>
    <row r="200" spans="1:9" x14ac:dyDescent="0.3">
      <c r="A200" s="24" t="s">
        <v>402</v>
      </c>
      <c r="B200" s="25"/>
      <c r="C200" s="25"/>
      <c r="D200" s="25"/>
      <c r="E200" s="25"/>
      <c r="F200" s="25"/>
      <c r="G200" s="25"/>
      <c r="H200" s="25">
        <v>1520000</v>
      </c>
      <c r="I200" s="25">
        <v>1520000</v>
      </c>
    </row>
    <row r="201" spans="1:9" x14ac:dyDescent="0.3">
      <c r="A201" s="24" t="s">
        <v>403</v>
      </c>
      <c r="B201" s="25"/>
      <c r="C201" s="25"/>
      <c r="D201" s="25"/>
      <c r="E201" s="25"/>
      <c r="F201" s="25"/>
      <c r="G201" s="25"/>
      <c r="H201" s="25">
        <v>720000</v>
      </c>
      <c r="I201" s="25">
        <v>720000</v>
      </c>
    </row>
    <row r="202" spans="1:9" x14ac:dyDescent="0.3">
      <c r="A202" s="24" t="s">
        <v>418</v>
      </c>
      <c r="B202" s="25"/>
      <c r="C202" s="25"/>
      <c r="D202" s="25"/>
      <c r="E202" s="25">
        <v>103410</v>
      </c>
      <c r="F202" s="25"/>
      <c r="G202" s="25"/>
      <c r="H202" s="25"/>
      <c r="I202" s="25">
        <v>103410</v>
      </c>
    </row>
    <row r="203" spans="1:9" x14ac:dyDescent="0.3">
      <c r="A203" s="24" t="s">
        <v>126</v>
      </c>
      <c r="B203" s="25"/>
      <c r="C203" s="25"/>
      <c r="D203" s="25"/>
      <c r="E203" s="25">
        <v>3375</v>
      </c>
      <c r="F203" s="25"/>
      <c r="G203" s="25"/>
      <c r="H203" s="25"/>
      <c r="I203" s="25">
        <v>3375</v>
      </c>
    </row>
    <row r="204" spans="1:9" x14ac:dyDescent="0.3">
      <c r="A204" s="24" t="s">
        <v>125</v>
      </c>
      <c r="B204" s="25"/>
      <c r="C204" s="25"/>
      <c r="D204" s="25"/>
      <c r="E204" s="25">
        <v>1245</v>
      </c>
      <c r="F204" s="25"/>
      <c r="G204" s="25"/>
      <c r="H204" s="25"/>
      <c r="I204" s="25">
        <v>1245</v>
      </c>
    </row>
    <row r="205" spans="1:9" x14ac:dyDescent="0.3">
      <c r="A205" s="24" t="s">
        <v>132</v>
      </c>
      <c r="B205" s="25"/>
      <c r="C205" s="25"/>
      <c r="D205" s="25"/>
      <c r="E205" s="25">
        <v>9990</v>
      </c>
      <c r="F205" s="25"/>
      <c r="G205" s="25"/>
      <c r="H205" s="25"/>
      <c r="I205" s="25">
        <v>9990</v>
      </c>
    </row>
    <row r="206" spans="1:9" x14ac:dyDescent="0.3">
      <c r="A206" s="24" t="s">
        <v>421</v>
      </c>
      <c r="B206" s="25"/>
      <c r="C206" s="25"/>
      <c r="D206" s="25"/>
      <c r="E206" s="25">
        <v>41400</v>
      </c>
      <c r="F206" s="25"/>
      <c r="G206" s="25"/>
      <c r="H206" s="25"/>
      <c r="I206" s="25">
        <v>41400</v>
      </c>
    </row>
    <row r="207" spans="1:9" x14ac:dyDescent="0.3">
      <c r="A207" s="24" t="s">
        <v>134</v>
      </c>
      <c r="B207" s="25"/>
      <c r="C207" s="25"/>
      <c r="D207" s="25"/>
      <c r="E207" s="25">
        <v>13200</v>
      </c>
      <c r="F207" s="25"/>
      <c r="G207" s="25"/>
      <c r="H207" s="25"/>
      <c r="I207" s="25">
        <v>13200</v>
      </c>
    </row>
    <row r="208" spans="1:9" x14ac:dyDescent="0.3">
      <c r="A208" s="24" t="s">
        <v>422</v>
      </c>
      <c r="B208" s="25"/>
      <c r="C208" s="25"/>
      <c r="D208" s="25"/>
      <c r="E208" s="25">
        <v>34200</v>
      </c>
      <c r="F208" s="25"/>
      <c r="G208" s="25"/>
      <c r="H208" s="25"/>
      <c r="I208" s="25">
        <v>34200</v>
      </c>
    </row>
    <row r="209" spans="1:9" x14ac:dyDescent="0.3">
      <c r="A209" s="24" t="s">
        <v>437</v>
      </c>
      <c r="B209" s="25"/>
      <c r="C209" s="25">
        <v>182761.26</v>
      </c>
      <c r="D209" s="25"/>
      <c r="E209" s="25"/>
      <c r="F209" s="25"/>
      <c r="G209" s="25"/>
      <c r="H209" s="25"/>
      <c r="I209" s="25">
        <v>182761.26</v>
      </c>
    </row>
    <row r="210" spans="1:9" x14ac:dyDescent="0.3">
      <c r="A210" s="24" t="s">
        <v>118</v>
      </c>
      <c r="B210" s="25"/>
      <c r="C210" s="25">
        <v>182761.26</v>
      </c>
      <c r="D210" s="25"/>
      <c r="E210" s="25"/>
      <c r="F210" s="25"/>
      <c r="G210" s="25"/>
      <c r="H210" s="25"/>
      <c r="I210" s="25">
        <v>182761.26</v>
      </c>
    </row>
    <row r="211" spans="1:9" x14ac:dyDescent="0.3">
      <c r="A211" s="24" t="s">
        <v>441</v>
      </c>
      <c r="B211" s="25"/>
      <c r="C211" s="25"/>
      <c r="D211" s="25">
        <v>38300</v>
      </c>
      <c r="E211" s="25"/>
      <c r="F211" s="25"/>
      <c r="G211" s="25"/>
      <c r="H211" s="25"/>
      <c r="I211" s="25">
        <v>38300</v>
      </c>
    </row>
    <row r="212" spans="1:9" ht="115.5" x14ac:dyDescent="0.3">
      <c r="A212" s="24" t="s">
        <v>442</v>
      </c>
      <c r="B212" s="25"/>
      <c r="C212" s="25"/>
      <c r="D212" s="25">
        <v>38300</v>
      </c>
      <c r="E212" s="25"/>
      <c r="F212" s="25"/>
      <c r="G212" s="25"/>
      <c r="H212" s="25"/>
      <c r="I212" s="25">
        <v>38300</v>
      </c>
    </row>
    <row r="213" spans="1:9" x14ac:dyDescent="0.3">
      <c r="A213" s="24" t="s">
        <v>439</v>
      </c>
      <c r="B213" s="25"/>
      <c r="C213" s="25">
        <v>11400</v>
      </c>
      <c r="D213" s="25"/>
      <c r="E213" s="25"/>
      <c r="F213" s="25"/>
      <c r="G213" s="25"/>
      <c r="H213" s="25"/>
      <c r="I213" s="25">
        <v>11400</v>
      </c>
    </row>
    <row r="214" spans="1:9" x14ac:dyDescent="0.3">
      <c r="A214" s="24" t="s">
        <v>440</v>
      </c>
      <c r="B214" s="25"/>
      <c r="C214" s="25">
        <v>11400</v>
      </c>
      <c r="D214" s="25"/>
      <c r="E214" s="25"/>
      <c r="F214" s="25"/>
      <c r="G214" s="25"/>
      <c r="H214" s="25"/>
      <c r="I214" s="25">
        <v>11400</v>
      </c>
    </row>
    <row r="215" spans="1:9" x14ac:dyDescent="0.3">
      <c r="A215" s="24" t="s">
        <v>469</v>
      </c>
      <c r="B215" s="25"/>
      <c r="C215" s="25"/>
      <c r="D215" s="25">
        <v>6000</v>
      </c>
      <c r="E215" s="25"/>
      <c r="F215" s="25"/>
      <c r="G215" s="25"/>
      <c r="H215" s="25"/>
      <c r="I215" s="25">
        <v>6000</v>
      </c>
    </row>
    <row r="216" spans="1:9" x14ac:dyDescent="0.3">
      <c r="A216" s="24" t="s">
        <v>472</v>
      </c>
      <c r="B216" s="25"/>
      <c r="C216" s="25"/>
      <c r="D216" s="25">
        <v>6000</v>
      </c>
      <c r="E216" s="25"/>
      <c r="F216" s="25"/>
      <c r="G216" s="25"/>
      <c r="H216" s="25"/>
      <c r="I216" s="25">
        <v>6000</v>
      </c>
    </row>
    <row r="217" spans="1:9" x14ac:dyDescent="0.3">
      <c r="A217" s="24" t="s">
        <v>475</v>
      </c>
      <c r="B217" s="25"/>
      <c r="C217" s="25">
        <v>24000</v>
      </c>
      <c r="D217" s="25"/>
      <c r="E217" s="25"/>
      <c r="F217" s="25"/>
      <c r="G217" s="25"/>
      <c r="H217" s="25"/>
      <c r="I217" s="25">
        <v>24000</v>
      </c>
    </row>
    <row r="218" spans="1:9" x14ac:dyDescent="0.3">
      <c r="A218" s="24" t="s">
        <v>479</v>
      </c>
      <c r="B218" s="25"/>
      <c r="C218" s="25">
        <v>4500</v>
      </c>
      <c r="D218" s="25"/>
      <c r="E218" s="25"/>
      <c r="F218" s="25"/>
      <c r="G218" s="25"/>
      <c r="H218" s="25"/>
      <c r="I218" s="25">
        <v>4500</v>
      </c>
    </row>
    <row r="219" spans="1:9" x14ac:dyDescent="0.3">
      <c r="A219" s="24" t="s">
        <v>478</v>
      </c>
      <c r="B219" s="25"/>
      <c r="C219" s="25">
        <v>5500</v>
      </c>
      <c r="D219" s="25"/>
      <c r="E219" s="25"/>
      <c r="F219" s="25"/>
      <c r="G219" s="25"/>
      <c r="H219" s="25"/>
      <c r="I219" s="25">
        <v>5500</v>
      </c>
    </row>
    <row r="220" spans="1:9" x14ac:dyDescent="0.3">
      <c r="A220" s="24" t="s">
        <v>477</v>
      </c>
      <c r="B220" s="25"/>
      <c r="C220" s="25">
        <v>14000</v>
      </c>
      <c r="D220" s="25"/>
      <c r="E220" s="25"/>
      <c r="F220" s="25"/>
      <c r="G220" s="25"/>
      <c r="H220" s="25"/>
      <c r="I220" s="25">
        <v>14000</v>
      </c>
    </row>
    <row r="221" spans="1:9" x14ac:dyDescent="0.3">
      <c r="A221" s="24" t="s">
        <v>480</v>
      </c>
      <c r="B221" s="25">
        <v>416000</v>
      </c>
      <c r="C221" s="25"/>
      <c r="D221" s="25"/>
      <c r="E221" s="25"/>
      <c r="F221" s="25"/>
      <c r="G221" s="25"/>
      <c r="H221" s="25"/>
      <c r="I221" s="25">
        <v>416000</v>
      </c>
    </row>
    <row r="222" spans="1:9" ht="198" x14ac:dyDescent="0.3">
      <c r="A222" s="24" t="s">
        <v>481</v>
      </c>
      <c r="B222" s="25">
        <v>408500</v>
      </c>
      <c r="C222" s="25"/>
      <c r="D222" s="25"/>
      <c r="E222" s="25"/>
      <c r="F222" s="25"/>
      <c r="G222" s="25"/>
      <c r="H222" s="25"/>
      <c r="I222" s="25">
        <v>408500</v>
      </c>
    </row>
    <row r="223" spans="1:9" ht="99" x14ac:dyDescent="0.3">
      <c r="A223" s="24" t="s">
        <v>482</v>
      </c>
      <c r="B223" s="25">
        <v>7500</v>
      </c>
      <c r="C223" s="25"/>
      <c r="D223" s="25"/>
      <c r="E223" s="25"/>
      <c r="F223" s="25"/>
      <c r="G223" s="25"/>
      <c r="H223" s="25"/>
      <c r="I223" s="25">
        <v>7500</v>
      </c>
    </row>
    <row r="224" spans="1:9" x14ac:dyDescent="0.3">
      <c r="A224" s="24" t="s">
        <v>495</v>
      </c>
      <c r="B224" s="25"/>
      <c r="C224" s="25"/>
      <c r="D224" s="25"/>
      <c r="E224" s="25"/>
      <c r="F224" s="25"/>
      <c r="G224" s="25">
        <v>9220</v>
      </c>
      <c r="H224" s="25"/>
      <c r="I224" s="25">
        <v>9220</v>
      </c>
    </row>
    <row r="225" spans="1:9" ht="49.5" x14ac:dyDescent="0.3">
      <c r="A225" s="24" t="s">
        <v>501</v>
      </c>
      <c r="B225" s="25"/>
      <c r="C225" s="25"/>
      <c r="D225" s="25"/>
      <c r="E225" s="25"/>
      <c r="F225" s="25"/>
      <c r="G225" s="25">
        <v>720</v>
      </c>
      <c r="H225" s="25"/>
      <c r="I225" s="25">
        <v>720</v>
      </c>
    </row>
    <row r="226" spans="1:9" x14ac:dyDescent="0.3">
      <c r="A226" s="24" t="s">
        <v>500</v>
      </c>
      <c r="B226" s="25"/>
      <c r="C226" s="25"/>
      <c r="D226" s="25"/>
      <c r="E226" s="25"/>
      <c r="F226" s="25"/>
      <c r="G226" s="25">
        <v>1500</v>
      </c>
      <c r="H226" s="25"/>
      <c r="I226" s="25">
        <v>1500</v>
      </c>
    </row>
    <row r="227" spans="1:9" x14ac:dyDescent="0.3">
      <c r="A227" s="24" t="s">
        <v>497</v>
      </c>
      <c r="B227" s="25"/>
      <c r="C227" s="25"/>
      <c r="D227" s="25"/>
      <c r="E227" s="25"/>
      <c r="F227" s="25"/>
      <c r="G227" s="25">
        <v>1800</v>
      </c>
      <c r="H227" s="25"/>
      <c r="I227" s="25">
        <v>1800</v>
      </c>
    </row>
    <row r="228" spans="1:9" x14ac:dyDescent="0.3">
      <c r="A228" s="24" t="s">
        <v>496</v>
      </c>
      <c r="B228" s="25"/>
      <c r="C228" s="25"/>
      <c r="D228" s="25"/>
      <c r="E228" s="25"/>
      <c r="F228" s="25"/>
      <c r="G228" s="25">
        <v>5200</v>
      </c>
      <c r="H228" s="25"/>
      <c r="I228" s="25">
        <v>5200</v>
      </c>
    </row>
    <row r="229" spans="1:9" x14ac:dyDescent="0.3">
      <c r="A229" s="24" t="s">
        <v>503</v>
      </c>
      <c r="B229" s="25"/>
      <c r="C229" s="25"/>
      <c r="D229" s="25"/>
      <c r="E229" s="25"/>
      <c r="F229" s="25"/>
      <c r="G229" s="25">
        <v>52080</v>
      </c>
      <c r="H229" s="25"/>
      <c r="I229" s="25">
        <v>52080</v>
      </c>
    </row>
    <row r="230" spans="1:9" ht="33" x14ac:dyDescent="0.3">
      <c r="A230" s="24" t="s">
        <v>506</v>
      </c>
      <c r="B230" s="25"/>
      <c r="C230" s="25"/>
      <c r="D230" s="25"/>
      <c r="E230" s="25"/>
      <c r="F230" s="25"/>
      <c r="G230" s="25">
        <v>17160</v>
      </c>
      <c r="H230" s="25"/>
      <c r="I230" s="25">
        <v>17160</v>
      </c>
    </row>
    <row r="231" spans="1:9" ht="33" x14ac:dyDescent="0.3">
      <c r="A231" s="24" t="s">
        <v>505</v>
      </c>
      <c r="B231" s="25"/>
      <c r="C231" s="25"/>
      <c r="D231" s="25"/>
      <c r="E231" s="25"/>
      <c r="F231" s="25"/>
      <c r="G231" s="25">
        <v>10920</v>
      </c>
      <c r="H231" s="25"/>
      <c r="I231" s="25">
        <v>10920</v>
      </c>
    </row>
    <row r="232" spans="1:9" ht="33" x14ac:dyDescent="0.3">
      <c r="A232" s="24" t="s">
        <v>507</v>
      </c>
      <c r="B232" s="25"/>
      <c r="C232" s="25"/>
      <c r="D232" s="25"/>
      <c r="E232" s="25"/>
      <c r="F232" s="25"/>
      <c r="G232" s="25">
        <v>24000</v>
      </c>
      <c r="H232" s="25"/>
      <c r="I232" s="25">
        <v>24000</v>
      </c>
    </row>
    <row r="233" spans="1:9" x14ac:dyDescent="0.3">
      <c r="A233" s="24" t="s">
        <v>509</v>
      </c>
      <c r="B233" s="25"/>
      <c r="C233" s="25">
        <v>251350</v>
      </c>
      <c r="D233" s="25"/>
      <c r="E233" s="25"/>
      <c r="F233" s="25"/>
      <c r="G233" s="25"/>
      <c r="H233" s="25"/>
      <c r="I233" s="25">
        <v>251350</v>
      </c>
    </row>
    <row r="234" spans="1:9" x14ac:dyDescent="0.3">
      <c r="A234" s="24" t="s">
        <v>512</v>
      </c>
      <c r="B234" s="25"/>
      <c r="C234" s="25">
        <v>24675</v>
      </c>
      <c r="D234" s="25"/>
      <c r="E234" s="25"/>
      <c r="F234" s="25"/>
      <c r="G234" s="25"/>
      <c r="H234" s="25"/>
      <c r="I234" s="25">
        <v>24675</v>
      </c>
    </row>
    <row r="235" spans="1:9" x14ac:dyDescent="0.3">
      <c r="A235" s="24" t="s">
        <v>513</v>
      </c>
      <c r="B235" s="25"/>
      <c r="C235" s="25">
        <v>11700</v>
      </c>
      <c r="D235" s="25"/>
      <c r="E235" s="25"/>
      <c r="F235" s="25"/>
      <c r="G235" s="25"/>
      <c r="H235" s="25"/>
      <c r="I235" s="25">
        <v>11700</v>
      </c>
    </row>
    <row r="236" spans="1:9" x14ac:dyDescent="0.3">
      <c r="A236" s="24" t="s">
        <v>511</v>
      </c>
      <c r="B236" s="25"/>
      <c r="C236" s="25">
        <v>30975</v>
      </c>
      <c r="D236" s="25"/>
      <c r="E236" s="25"/>
      <c r="F236" s="25"/>
      <c r="G236" s="25"/>
      <c r="H236" s="25"/>
      <c r="I236" s="25">
        <v>30975</v>
      </c>
    </row>
    <row r="237" spans="1:9" x14ac:dyDescent="0.3">
      <c r="A237" s="24" t="s">
        <v>334</v>
      </c>
      <c r="B237" s="25"/>
      <c r="C237" s="25">
        <v>69000</v>
      </c>
      <c r="D237" s="25"/>
      <c r="E237" s="25"/>
      <c r="F237" s="25"/>
      <c r="G237" s="25"/>
      <c r="H237" s="25"/>
      <c r="I237" s="25">
        <v>69000</v>
      </c>
    </row>
    <row r="238" spans="1:9" x14ac:dyDescent="0.3">
      <c r="A238" s="24" t="s">
        <v>514</v>
      </c>
      <c r="B238" s="25"/>
      <c r="C238" s="25">
        <v>115000</v>
      </c>
      <c r="D238" s="25"/>
      <c r="E238" s="25"/>
      <c r="F238" s="25"/>
      <c r="G238" s="25"/>
      <c r="H238" s="25"/>
      <c r="I238" s="25">
        <v>115000</v>
      </c>
    </row>
    <row r="239" spans="1:9" x14ac:dyDescent="0.3">
      <c r="A239" s="24" t="s">
        <v>515</v>
      </c>
      <c r="B239" s="25"/>
      <c r="C239" s="25">
        <v>26190</v>
      </c>
      <c r="D239" s="25"/>
      <c r="E239" s="25"/>
      <c r="F239" s="25"/>
      <c r="G239" s="25"/>
      <c r="H239" s="25"/>
      <c r="I239" s="25">
        <v>26190</v>
      </c>
    </row>
    <row r="240" spans="1:9" ht="66" x14ac:dyDescent="0.3">
      <c r="A240" s="24" t="s">
        <v>516</v>
      </c>
      <c r="B240" s="25"/>
      <c r="C240" s="25">
        <v>26190</v>
      </c>
      <c r="D240" s="25"/>
      <c r="E240" s="25"/>
      <c r="F240" s="25"/>
      <c r="G240" s="25"/>
      <c r="H240" s="25"/>
      <c r="I240" s="25">
        <v>26190</v>
      </c>
    </row>
    <row r="241" spans="1:9" x14ac:dyDescent="0.3">
      <c r="A241" s="24" t="s">
        <v>517</v>
      </c>
      <c r="B241" s="25"/>
      <c r="C241" s="25">
        <v>42000</v>
      </c>
      <c r="D241" s="25"/>
      <c r="E241" s="25"/>
      <c r="F241" s="25"/>
      <c r="G241" s="25"/>
      <c r="H241" s="25"/>
      <c r="I241" s="25">
        <v>42000</v>
      </c>
    </row>
    <row r="242" spans="1:9" x14ac:dyDescent="0.3">
      <c r="A242" s="24" t="s">
        <v>518</v>
      </c>
      <c r="B242" s="25"/>
      <c r="C242" s="25">
        <v>42000</v>
      </c>
      <c r="D242" s="25"/>
      <c r="E242" s="25"/>
      <c r="F242" s="25"/>
      <c r="G242" s="25"/>
      <c r="H242" s="25"/>
      <c r="I242" s="25">
        <v>42000</v>
      </c>
    </row>
    <row r="243" spans="1:9" x14ac:dyDescent="0.3">
      <c r="A243" s="24" t="s">
        <v>519</v>
      </c>
      <c r="B243" s="25"/>
      <c r="C243" s="25"/>
      <c r="D243" s="25"/>
      <c r="E243" s="25"/>
      <c r="F243" s="25"/>
      <c r="G243" s="25">
        <v>39000</v>
      </c>
      <c r="H243" s="25"/>
      <c r="I243" s="25">
        <v>39000</v>
      </c>
    </row>
    <row r="244" spans="1:9" x14ac:dyDescent="0.3">
      <c r="A244" s="24" t="s">
        <v>520</v>
      </c>
      <c r="B244" s="25"/>
      <c r="C244" s="25"/>
      <c r="D244" s="25"/>
      <c r="E244" s="25"/>
      <c r="F244" s="25"/>
      <c r="G244" s="25">
        <v>39000</v>
      </c>
      <c r="H244" s="25"/>
      <c r="I244" s="25">
        <v>39000</v>
      </c>
    </row>
    <row r="245" spans="1:9" x14ac:dyDescent="0.3">
      <c r="A245" s="24" t="s">
        <v>533</v>
      </c>
      <c r="B245" s="25"/>
      <c r="C245" s="25"/>
      <c r="D245" s="25"/>
      <c r="E245" s="25"/>
      <c r="F245" s="25"/>
      <c r="G245" s="25"/>
      <c r="H245" s="25">
        <v>14009.35</v>
      </c>
      <c r="I245" s="25">
        <v>14009.35</v>
      </c>
    </row>
    <row r="246" spans="1:9" x14ac:dyDescent="0.3">
      <c r="A246" s="24" t="s">
        <v>534</v>
      </c>
      <c r="B246" s="25"/>
      <c r="C246" s="25"/>
      <c r="D246" s="25"/>
      <c r="E246" s="25"/>
      <c r="F246" s="25"/>
      <c r="G246" s="25"/>
      <c r="H246" s="25">
        <v>14009.35</v>
      </c>
      <c r="I246" s="25">
        <v>14009.35</v>
      </c>
    </row>
    <row r="247" spans="1:9" x14ac:dyDescent="0.3">
      <c r="A247" s="24" t="s">
        <v>7</v>
      </c>
      <c r="B247" s="25">
        <v>416000</v>
      </c>
      <c r="C247" s="25">
        <v>1547037.29</v>
      </c>
      <c r="D247" s="25">
        <v>15202165.32</v>
      </c>
      <c r="E247" s="25">
        <v>2793805.83</v>
      </c>
      <c r="F247" s="25">
        <v>993036.91</v>
      </c>
      <c r="G247" s="25">
        <v>157700</v>
      </c>
      <c r="H247" s="25">
        <v>2254009.35</v>
      </c>
      <c r="I247" s="25">
        <v>23363754.700000003</v>
      </c>
    </row>
    <row r="248" spans="1:9" x14ac:dyDescent="0.3">
      <c r="A248"/>
      <c r="B248"/>
    </row>
    <row r="249" spans="1:9" x14ac:dyDescent="0.3">
      <c r="A249"/>
      <c r="B249"/>
    </row>
    <row r="250" spans="1:9" x14ac:dyDescent="0.3">
      <c r="A250"/>
      <c r="B250"/>
    </row>
    <row r="251" spans="1:9" x14ac:dyDescent="0.3">
      <c r="A251"/>
      <c r="B251"/>
    </row>
    <row r="252" spans="1:9" x14ac:dyDescent="0.3">
      <c r="A252"/>
      <c r="B252"/>
    </row>
    <row r="253" spans="1:9" x14ac:dyDescent="0.3">
      <c r="A253"/>
      <c r="B253"/>
    </row>
    <row r="254" spans="1:9" x14ac:dyDescent="0.3">
      <c r="A254"/>
      <c r="B254"/>
    </row>
    <row r="255" spans="1:9" x14ac:dyDescent="0.3">
      <c r="A255"/>
      <c r="B255"/>
    </row>
    <row r="256" spans="1:9" x14ac:dyDescent="0.3">
      <c r="A256"/>
      <c r="B256"/>
    </row>
    <row r="257" spans="1:2" x14ac:dyDescent="0.3">
      <c r="A257"/>
      <c r="B257"/>
    </row>
    <row r="258" spans="1:2" x14ac:dyDescent="0.3">
      <c r="A258"/>
      <c r="B258"/>
    </row>
    <row r="259" spans="1:2" x14ac:dyDescent="0.3">
      <c r="A259"/>
      <c r="B259"/>
    </row>
    <row r="260" spans="1:2" x14ac:dyDescent="0.3">
      <c r="A260"/>
      <c r="B260"/>
    </row>
    <row r="261" spans="1:2" x14ac:dyDescent="0.3">
      <c r="A261"/>
      <c r="B261"/>
    </row>
    <row r="262" spans="1:2" x14ac:dyDescent="0.3">
      <c r="A262"/>
      <c r="B262"/>
    </row>
    <row r="263" spans="1:2" x14ac:dyDescent="0.3">
      <c r="A263"/>
      <c r="B263"/>
    </row>
    <row r="264" spans="1:2" x14ac:dyDescent="0.3">
      <c r="A264"/>
      <c r="B264"/>
    </row>
    <row r="265" spans="1:2" x14ac:dyDescent="0.3">
      <c r="A265"/>
      <c r="B265"/>
    </row>
    <row r="266" spans="1:2" x14ac:dyDescent="0.3">
      <c r="A266"/>
      <c r="B266"/>
    </row>
    <row r="267" spans="1:2" x14ac:dyDescent="0.3">
      <c r="A267"/>
      <c r="B267"/>
    </row>
    <row r="268" spans="1:2" x14ac:dyDescent="0.3">
      <c r="A268"/>
      <c r="B268"/>
    </row>
    <row r="269" spans="1:2" x14ac:dyDescent="0.3">
      <c r="A269"/>
      <c r="B269"/>
    </row>
    <row r="270" spans="1:2" x14ac:dyDescent="0.3">
      <c r="A270"/>
      <c r="B270"/>
    </row>
    <row r="271" spans="1:2" x14ac:dyDescent="0.3">
      <c r="A271"/>
      <c r="B271"/>
    </row>
    <row r="272" spans="1:2" x14ac:dyDescent="0.3">
      <c r="A272"/>
      <c r="B272"/>
    </row>
    <row r="273" spans="1:2" x14ac:dyDescent="0.3">
      <c r="A273"/>
      <c r="B273"/>
    </row>
    <row r="274" spans="1:2" x14ac:dyDescent="0.3">
      <c r="A274"/>
      <c r="B274"/>
    </row>
    <row r="275" spans="1:2" x14ac:dyDescent="0.3">
      <c r="A275"/>
      <c r="B275"/>
    </row>
    <row r="276" spans="1:2" x14ac:dyDescent="0.3">
      <c r="A276"/>
      <c r="B276"/>
    </row>
    <row r="277" spans="1:2" x14ac:dyDescent="0.3">
      <c r="A277"/>
      <c r="B277"/>
    </row>
    <row r="278" spans="1:2" x14ac:dyDescent="0.3">
      <c r="A278"/>
      <c r="B278"/>
    </row>
    <row r="279" spans="1:2" x14ac:dyDescent="0.3">
      <c r="A279"/>
      <c r="B279"/>
    </row>
    <row r="280" spans="1:2" x14ac:dyDescent="0.3">
      <c r="A280"/>
      <c r="B280"/>
    </row>
    <row r="281" spans="1:2" x14ac:dyDescent="0.3">
      <c r="A281"/>
      <c r="B281"/>
    </row>
    <row r="282" spans="1:2" x14ac:dyDescent="0.3">
      <c r="A282"/>
      <c r="B282"/>
    </row>
    <row r="283" spans="1:2" x14ac:dyDescent="0.3">
      <c r="A283"/>
      <c r="B283"/>
    </row>
    <row r="284" spans="1:2" x14ac:dyDescent="0.3">
      <c r="A284"/>
      <c r="B284"/>
    </row>
    <row r="285" spans="1:2" x14ac:dyDescent="0.3">
      <c r="A285"/>
      <c r="B285"/>
    </row>
    <row r="286" spans="1:2" x14ac:dyDescent="0.3">
      <c r="A286"/>
      <c r="B286"/>
    </row>
    <row r="287" spans="1:2" x14ac:dyDescent="0.3">
      <c r="A287"/>
      <c r="B287"/>
    </row>
    <row r="288" spans="1:2" x14ac:dyDescent="0.3">
      <c r="A288"/>
      <c r="B288"/>
    </row>
    <row r="289" spans="1:2" x14ac:dyDescent="0.3">
      <c r="A289"/>
      <c r="B289"/>
    </row>
    <row r="290" spans="1:2" x14ac:dyDescent="0.3">
      <c r="A290"/>
      <c r="B290"/>
    </row>
    <row r="291" spans="1:2" x14ac:dyDescent="0.3">
      <c r="A291"/>
      <c r="B291"/>
    </row>
    <row r="292" spans="1:2" x14ac:dyDescent="0.3">
      <c r="A292"/>
      <c r="B292"/>
    </row>
    <row r="293" spans="1:2" x14ac:dyDescent="0.3">
      <c r="A293"/>
      <c r="B293"/>
    </row>
    <row r="294" spans="1:2" x14ac:dyDescent="0.3">
      <c r="A294"/>
      <c r="B294"/>
    </row>
    <row r="295" spans="1:2" x14ac:dyDescent="0.3">
      <c r="A295"/>
      <c r="B295"/>
    </row>
    <row r="296" spans="1:2" x14ac:dyDescent="0.3">
      <c r="A296"/>
      <c r="B296"/>
    </row>
    <row r="297" spans="1:2" x14ac:dyDescent="0.3">
      <c r="A297"/>
      <c r="B297"/>
    </row>
    <row r="298" spans="1:2" x14ac:dyDescent="0.3">
      <c r="A298"/>
      <c r="B298"/>
    </row>
    <row r="299" spans="1:2" x14ac:dyDescent="0.3">
      <c r="A299"/>
      <c r="B299"/>
    </row>
    <row r="300" spans="1:2" x14ac:dyDescent="0.3">
      <c r="A300"/>
      <c r="B300"/>
    </row>
    <row r="301" spans="1:2" x14ac:dyDescent="0.3">
      <c r="A301"/>
      <c r="B301"/>
    </row>
    <row r="302" spans="1:2" x14ac:dyDescent="0.3">
      <c r="A302"/>
      <c r="B302"/>
    </row>
    <row r="303" spans="1:2" x14ac:dyDescent="0.3">
      <c r="A303"/>
      <c r="B303"/>
    </row>
    <row r="304" spans="1:2" x14ac:dyDescent="0.3">
      <c r="A304"/>
      <c r="B304"/>
    </row>
    <row r="305" spans="1:2" x14ac:dyDescent="0.3">
      <c r="A305"/>
      <c r="B305"/>
    </row>
    <row r="306" spans="1:2" x14ac:dyDescent="0.3">
      <c r="A306"/>
      <c r="B306"/>
    </row>
    <row r="307" spans="1:2" x14ac:dyDescent="0.3">
      <c r="A307"/>
      <c r="B307"/>
    </row>
    <row r="308" spans="1:2" x14ac:dyDescent="0.3">
      <c r="A308"/>
      <c r="B308"/>
    </row>
    <row r="309" spans="1:2" x14ac:dyDescent="0.3">
      <c r="A309"/>
      <c r="B309"/>
    </row>
    <row r="310" spans="1:2" x14ac:dyDescent="0.3">
      <c r="A310"/>
      <c r="B310"/>
    </row>
    <row r="311" spans="1:2" x14ac:dyDescent="0.3">
      <c r="A311"/>
      <c r="B311"/>
    </row>
    <row r="312" spans="1:2" x14ac:dyDescent="0.3">
      <c r="A312"/>
      <c r="B312"/>
    </row>
    <row r="313" spans="1:2" x14ac:dyDescent="0.3">
      <c r="A313"/>
      <c r="B313"/>
    </row>
    <row r="314" spans="1:2" x14ac:dyDescent="0.3">
      <c r="A314"/>
      <c r="B314"/>
    </row>
    <row r="315" spans="1:2" x14ac:dyDescent="0.3">
      <c r="A315"/>
      <c r="B315"/>
    </row>
    <row r="316" spans="1:2" x14ac:dyDescent="0.3">
      <c r="A316"/>
      <c r="B316"/>
    </row>
    <row r="317" spans="1:2" x14ac:dyDescent="0.3">
      <c r="A317"/>
      <c r="B317"/>
    </row>
    <row r="318" spans="1:2" x14ac:dyDescent="0.3">
      <c r="A318"/>
      <c r="B318"/>
    </row>
    <row r="319" spans="1:2" x14ac:dyDescent="0.3">
      <c r="A319"/>
      <c r="B319"/>
    </row>
    <row r="320" spans="1:2" x14ac:dyDescent="0.3">
      <c r="A320"/>
      <c r="B320"/>
    </row>
    <row r="321" spans="1:2" x14ac:dyDescent="0.3">
      <c r="A321"/>
      <c r="B321"/>
    </row>
    <row r="322" spans="1:2" x14ac:dyDescent="0.3">
      <c r="A322"/>
      <c r="B322"/>
    </row>
    <row r="323" spans="1:2" x14ac:dyDescent="0.3">
      <c r="A323"/>
      <c r="B323"/>
    </row>
    <row r="324" spans="1:2" x14ac:dyDescent="0.3">
      <c r="A324"/>
      <c r="B324"/>
    </row>
    <row r="325" spans="1:2" x14ac:dyDescent="0.3">
      <c r="A325"/>
      <c r="B325"/>
    </row>
    <row r="326" spans="1:2" x14ac:dyDescent="0.3">
      <c r="A326"/>
      <c r="B326"/>
    </row>
    <row r="327" spans="1:2" x14ac:dyDescent="0.3">
      <c r="A327"/>
      <c r="B327"/>
    </row>
    <row r="328" spans="1:2" x14ac:dyDescent="0.3">
      <c r="A328"/>
      <c r="B328"/>
    </row>
    <row r="329" spans="1:2" x14ac:dyDescent="0.3">
      <c r="A329"/>
      <c r="B329"/>
    </row>
    <row r="330" spans="1:2" x14ac:dyDescent="0.3">
      <c r="A330"/>
      <c r="B330"/>
    </row>
    <row r="331" spans="1:2" x14ac:dyDescent="0.3">
      <c r="A331"/>
      <c r="B331"/>
    </row>
    <row r="332" spans="1:2" x14ac:dyDescent="0.3">
      <c r="A332"/>
      <c r="B332"/>
    </row>
    <row r="333" spans="1:2" x14ac:dyDescent="0.3">
      <c r="A333"/>
      <c r="B333"/>
    </row>
    <row r="334" spans="1:2" x14ac:dyDescent="0.3">
      <c r="A334"/>
      <c r="B334"/>
    </row>
    <row r="335" spans="1:2" x14ac:dyDescent="0.3">
      <c r="A335"/>
      <c r="B335"/>
    </row>
    <row r="336" spans="1:2" x14ac:dyDescent="0.3">
      <c r="A336"/>
      <c r="B336"/>
    </row>
    <row r="337" spans="1:2" x14ac:dyDescent="0.3">
      <c r="A337"/>
      <c r="B337"/>
    </row>
    <row r="338" spans="1:2" x14ac:dyDescent="0.3">
      <c r="A338"/>
      <c r="B338"/>
    </row>
    <row r="339" spans="1:2" x14ac:dyDescent="0.3">
      <c r="A339"/>
      <c r="B339"/>
    </row>
    <row r="340" spans="1:2" x14ac:dyDescent="0.3">
      <c r="A340"/>
      <c r="B340"/>
    </row>
    <row r="341" spans="1:2" x14ac:dyDescent="0.3">
      <c r="A341"/>
      <c r="B341"/>
    </row>
    <row r="342" spans="1:2" x14ac:dyDescent="0.3">
      <c r="A342"/>
      <c r="B342"/>
    </row>
    <row r="343" spans="1:2" x14ac:dyDescent="0.3">
      <c r="A343"/>
      <c r="B343"/>
    </row>
    <row r="344" spans="1:2" x14ac:dyDescent="0.3">
      <c r="A344"/>
      <c r="B344"/>
    </row>
    <row r="345" spans="1:2" x14ac:dyDescent="0.3">
      <c r="A345"/>
      <c r="B345"/>
    </row>
    <row r="346" spans="1:2" x14ac:dyDescent="0.3">
      <c r="A346"/>
      <c r="B346"/>
    </row>
    <row r="347" spans="1:2" x14ac:dyDescent="0.3">
      <c r="A347"/>
      <c r="B347"/>
    </row>
    <row r="348" spans="1:2" x14ac:dyDescent="0.3">
      <c r="A348"/>
      <c r="B348"/>
    </row>
    <row r="349" spans="1:2" x14ac:dyDescent="0.3">
      <c r="A349"/>
      <c r="B349"/>
    </row>
    <row r="350" spans="1:2" x14ac:dyDescent="0.3">
      <c r="A350"/>
      <c r="B350"/>
    </row>
    <row r="351" spans="1:2" x14ac:dyDescent="0.3">
      <c r="A351"/>
      <c r="B351"/>
    </row>
    <row r="352" spans="1:2" x14ac:dyDescent="0.3">
      <c r="A352"/>
      <c r="B352"/>
    </row>
    <row r="353" spans="1:2" x14ac:dyDescent="0.3">
      <c r="A353"/>
      <c r="B353"/>
    </row>
    <row r="354" spans="1:2" x14ac:dyDescent="0.3">
      <c r="A354"/>
      <c r="B354"/>
    </row>
    <row r="355" spans="1:2" x14ac:dyDescent="0.3">
      <c r="A355"/>
      <c r="B355"/>
    </row>
    <row r="356" spans="1:2" x14ac:dyDescent="0.3">
      <c r="A356"/>
      <c r="B356"/>
    </row>
    <row r="357" spans="1:2" x14ac:dyDescent="0.3">
      <c r="A357"/>
      <c r="B357"/>
    </row>
    <row r="358" spans="1:2" x14ac:dyDescent="0.3">
      <c r="A358"/>
      <c r="B358"/>
    </row>
    <row r="359" spans="1:2" x14ac:dyDescent="0.3">
      <c r="A359"/>
      <c r="B359"/>
    </row>
    <row r="360" spans="1:2" x14ac:dyDescent="0.3">
      <c r="A360"/>
      <c r="B360"/>
    </row>
    <row r="361" spans="1:2" x14ac:dyDescent="0.3">
      <c r="A361"/>
      <c r="B361"/>
    </row>
    <row r="362" spans="1:2" x14ac:dyDescent="0.3">
      <c r="A362"/>
      <c r="B362"/>
    </row>
    <row r="363" spans="1:2" x14ac:dyDescent="0.3">
      <c r="A363"/>
      <c r="B363"/>
    </row>
    <row r="364" spans="1:2" x14ac:dyDescent="0.3">
      <c r="A364"/>
      <c r="B364"/>
    </row>
    <row r="365" spans="1:2" x14ac:dyDescent="0.3">
      <c r="A365"/>
      <c r="B365"/>
    </row>
    <row r="366" spans="1:2" x14ac:dyDescent="0.3">
      <c r="A366"/>
      <c r="B366"/>
    </row>
    <row r="367" spans="1:2" x14ac:dyDescent="0.3">
      <c r="A367"/>
      <c r="B367"/>
    </row>
    <row r="368" spans="1:2" x14ac:dyDescent="0.3">
      <c r="A368"/>
      <c r="B368"/>
    </row>
    <row r="369" spans="1:2" x14ac:dyDescent="0.3">
      <c r="A369"/>
      <c r="B369"/>
    </row>
    <row r="370" spans="1:2" x14ac:dyDescent="0.3">
      <c r="A370"/>
      <c r="B370"/>
    </row>
    <row r="371" spans="1:2" x14ac:dyDescent="0.3">
      <c r="A371"/>
      <c r="B371"/>
    </row>
    <row r="372" spans="1:2" x14ac:dyDescent="0.3">
      <c r="A372"/>
      <c r="B372"/>
    </row>
    <row r="373" spans="1:2" x14ac:dyDescent="0.3">
      <c r="A373"/>
      <c r="B373"/>
    </row>
    <row r="374" spans="1:2" x14ac:dyDescent="0.3">
      <c r="A374"/>
      <c r="B374"/>
    </row>
    <row r="375" spans="1:2" x14ac:dyDescent="0.3">
      <c r="A375"/>
      <c r="B375"/>
    </row>
    <row r="376" spans="1:2" x14ac:dyDescent="0.3">
      <c r="A376"/>
      <c r="B376"/>
    </row>
    <row r="377" spans="1:2" x14ac:dyDescent="0.3">
      <c r="A377"/>
      <c r="B377"/>
    </row>
    <row r="378" spans="1:2" x14ac:dyDescent="0.3">
      <c r="A378"/>
      <c r="B37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95E1B-B8D1-4BD2-87E4-9704D4FBDA64}">
  <sheetPr codeName="Sheet1">
    <tabColor rgb="FFFFFF00"/>
  </sheetPr>
  <dimension ref="A1:AD247"/>
  <sheetViews>
    <sheetView tabSelected="1" view="pageBreakPreview" zoomScale="90" zoomScaleNormal="80" zoomScaleSheetLayoutView="90" workbookViewId="0">
      <pane xSplit="3" ySplit="1" topLeftCell="D212" activePane="bottomRight" state="frozen"/>
      <selection pane="topRight" activeCell="G1" sqref="G1"/>
      <selection pane="bottomLeft" activeCell="A2" sqref="A2"/>
      <selection pane="bottomRight" activeCell="I229" sqref="I229"/>
    </sheetView>
  </sheetViews>
  <sheetFormatPr defaultColWidth="9" defaultRowHeight="16.5" outlineLevelCol="1" x14ac:dyDescent="0.3"/>
  <cols>
    <col min="1" max="1" width="4.75" style="28" customWidth="1"/>
    <col min="2" max="2" width="20.25" style="33" bestFit="1" customWidth="1" outlineLevel="1"/>
    <col min="3" max="3" width="16.5" style="27" bestFit="1" customWidth="1"/>
    <col min="4" max="4" width="12.75" style="28" customWidth="1" outlineLevel="1"/>
    <col min="5" max="5" width="13.125" style="28" bestFit="1" customWidth="1" outlineLevel="1"/>
    <col min="6" max="6" width="16.375" style="27" customWidth="1" outlineLevel="1"/>
    <col min="7" max="7" width="26.125" style="53" customWidth="1" outlineLevel="1"/>
    <col min="8" max="8" width="14.125" style="28" customWidth="1" outlineLevel="1"/>
    <col min="9" max="9" width="14" style="28" bestFit="1" customWidth="1"/>
    <col min="10" max="10" width="54.875" style="39" bestFit="1" customWidth="1"/>
    <col min="11" max="11" width="9.625" style="40" customWidth="1" outlineLevel="1"/>
    <col min="12" max="12" width="6.125" style="28" customWidth="1" outlineLevel="1"/>
    <col min="13" max="13" width="12.625" style="28" customWidth="1" outlineLevel="1"/>
    <col min="14" max="14" width="14.375" style="42" customWidth="1" outlineLevel="1"/>
    <col min="15" max="15" width="0.125" style="28" customWidth="1"/>
    <col min="16" max="21" width="13.375" style="28" customWidth="1"/>
    <col min="22" max="22" width="56.25" style="33" customWidth="1" outlineLevel="1"/>
    <col min="23" max="23" width="28.75" style="31" customWidth="1"/>
    <col min="24" max="24" width="30.5" style="28" customWidth="1"/>
    <col min="25" max="25" width="16.5" style="35" customWidth="1"/>
    <col min="26" max="26" width="24.25" style="35" customWidth="1"/>
    <col min="27" max="27" width="15" style="36" customWidth="1"/>
    <col min="28" max="28" width="12.625" style="35" customWidth="1"/>
    <col min="29" max="29" width="20" style="35" bestFit="1" customWidth="1"/>
    <col min="30" max="30" width="23.75" style="54" customWidth="1"/>
    <col min="31" max="16384" width="9" style="49"/>
  </cols>
  <sheetData>
    <row r="1" spans="1:30" s="28" customFormat="1" ht="21" customHeight="1" x14ac:dyDescent="0.3">
      <c r="A1" s="26" t="s">
        <v>18</v>
      </c>
      <c r="B1" s="26" t="s">
        <v>17</v>
      </c>
      <c r="C1" s="27" t="s">
        <v>19</v>
      </c>
      <c r="D1" s="28" t="s">
        <v>88</v>
      </c>
      <c r="E1" s="28" t="s">
        <v>87</v>
      </c>
      <c r="F1" s="27" t="s">
        <v>20</v>
      </c>
      <c r="G1" s="29" t="s">
        <v>21</v>
      </c>
      <c r="H1" s="30" t="s">
        <v>22</v>
      </c>
      <c r="I1" s="28" t="s">
        <v>23</v>
      </c>
      <c r="J1" s="31" t="s">
        <v>624</v>
      </c>
      <c r="K1" s="32" t="s">
        <v>24</v>
      </c>
      <c r="L1" s="33" t="s">
        <v>25</v>
      </c>
      <c r="M1" s="28" t="s">
        <v>26</v>
      </c>
      <c r="N1" s="43" t="s">
        <v>27</v>
      </c>
      <c r="O1" s="28" t="s">
        <v>28</v>
      </c>
      <c r="P1" s="28" t="s">
        <v>226</v>
      </c>
      <c r="Q1" s="28" t="s">
        <v>229</v>
      </c>
      <c r="R1" s="28" t="s">
        <v>228</v>
      </c>
      <c r="S1" s="28" t="s">
        <v>227</v>
      </c>
      <c r="T1" s="28" t="s">
        <v>567</v>
      </c>
      <c r="U1" s="58" t="s">
        <v>230</v>
      </c>
      <c r="V1" s="28" t="s">
        <v>29</v>
      </c>
      <c r="W1" s="31" t="s">
        <v>30</v>
      </c>
      <c r="X1" s="34" t="s">
        <v>31</v>
      </c>
      <c r="Y1" s="35" t="s">
        <v>32</v>
      </c>
      <c r="Z1" s="35" t="s">
        <v>33</v>
      </c>
      <c r="AA1" s="36" t="s">
        <v>34</v>
      </c>
      <c r="AB1" s="35" t="s">
        <v>35</v>
      </c>
      <c r="AC1" s="35" t="s">
        <v>218</v>
      </c>
      <c r="AD1" s="28" t="s">
        <v>36</v>
      </c>
    </row>
    <row r="2" spans="1:30" ht="99.75" x14ac:dyDescent="0.3">
      <c r="A2" s="28">
        <f>ROW()-ROW(RawDataGenPO[[#Headers],[No.]])</f>
        <v>1</v>
      </c>
      <c r="B2" s="33" t="s">
        <v>95</v>
      </c>
      <c r="C2" s="30">
        <v>45972</v>
      </c>
      <c r="D2" s="28" t="s">
        <v>89</v>
      </c>
      <c r="E2" s="28" t="s">
        <v>90</v>
      </c>
      <c r="F2" s="37">
        <v>45974</v>
      </c>
      <c r="G2" s="38">
        <v>450</v>
      </c>
      <c r="H2" s="28" t="s">
        <v>91</v>
      </c>
      <c r="I2" s="28">
        <v>1</v>
      </c>
      <c r="J2" s="39" t="s">
        <v>93</v>
      </c>
      <c r="K2" s="43">
        <v>12</v>
      </c>
      <c r="L2" s="28" t="s">
        <v>41</v>
      </c>
      <c r="M2" s="41">
        <f t="shared" ref="M2:M37" si="0">N2/K2</f>
        <v>56250</v>
      </c>
      <c r="N2" s="42">
        <v>675000</v>
      </c>
      <c r="O2" s="43"/>
      <c r="P2" s="43"/>
      <c r="Q2" s="43"/>
      <c r="R2" s="43"/>
      <c r="S2" s="43"/>
      <c r="T2" s="43"/>
      <c r="U2" s="43">
        <f>RawDataGenPO[[#This Row],[Total price]]-RawDataGenPO[[#This Row],[Column1]]-RawDataGenPO[[#This Row],[Column14]]-RawDataGenPO[[#This Row],[Column13]]-RawDataGenPO[[#This Row],[Column12]]</f>
        <v>675000</v>
      </c>
      <c r="V2" s="33" t="s">
        <v>92</v>
      </c>
      <c r="W2" s="44" t="s">
        <v>9</v>
      </c>
      <c r="Z2" s="45"/>
      <c r="AA2" s="46">
        <f>IF(RawDataGenPO[[#This Row],[Date Gen PO]]="","",RawDataGenPO[[#This Row],[Date recive bill]]-RawDataGenPO[[#This Row],[Date Gen PO]])</f>
        <v>-45974</v>
      </c>
      <c r="AB2" s="47" t="str">
        <f>IF(RawDataGenPO[[#This Row],[GRN-PO date]]&gt;RawDataGenPO[[#This Row],[Lead time delivery (day)]],"over deliverry","Ontime")</f>
        <v>Ontime</v>
      </c>
      <c r="AC2" s="56" t="s">
        <v>221</v>
      </c>
      <c r="AD2" s="48"/>
    </row>
    <row r="3" spans="1:30" ht="99.75" x14ac:dyDescent="0.3">
      <c r="A3" s="28">
        <f>ROW()-ROW(RawDataGenPO[[#Headers],[No.]])</f>
        <v>2</v>
      </c>
      <c r="B3" s="33" t="s">
        <v>95</v>
      </c>
      <c r="C3" s="30">
        <v>45972</v>
      </c>
      <c r="D3" s="28" t="s">
        <v>89</v>
      </c>
      <c r="E3" s="28" t="s">
        <v>90</v>
      </c>
      <c r="F3" s="37">
        <v>45974</v>
      </c>
      <c r="G3" s="38">
        <v>450</v>
      </c>
      <c r="H3" s="28" t="s">
        <v>91</v>
      </c>
      <c r="I3" s="28">
        <v>2</v>
      </c>
      <c r="J3" s="39" t="s">
        <v>94</v>
      </c>
      <c r="K3" s="43">
        <v>12</v>
      </c>
      <c r="L3" s="28" t="s">
        <v>41</v>
      </c>
      <c r="M3" s="41">
        <f t="shared" si="0"/>
        <v>12500</v>
      </c>
      <c r="N3" s="42">
        <v>150000</v>
      </c>
      <c r="O3" s="43"/>
      <c r="P3" s="43"/>
      <c r="Q3" s="43"/>
      <c r="R3" s="43"/>
      <c r="S3" s="43"/>
      <c r="T3" s="43"/>
      <c r="U3" s="43">
        <f>RawDataGenPO[[#This Row],[Total price]]-RawDataGenPO[[#This Row],[Column1]]-RawDataGenPO[[#This Row],[Column14]]-RawDataGenPO[[#This Row],[Column13]]-RawDataGenPO[[#This Row],[Column12]]</f>
        <v>150000</v>
      </c>
      <c r="V3" s="33" t="s">
        <v>92</v>
      </c>
      <c r="W3" s="44" t="s">
        <v>9</v>
      </c>
      <c r="Z3" s="45"/>
      <c r="AA3" s="46">
        <f>IF(RawDataGenPO[[#This Row],[Date Gen PO]]="","",RawDataGenPO[[#This Row],[Date recive bill]]-RawDataGenPO[[#This Row],[Date Gen PO]])</f>
        <v>-45974</v>
      </c>
      <c r="AB3" s="47" t="str">
        <f>IF(RawDataGenPO[[#This Row],[GRN-PO date]]&gt;RawDataGenPO[[#This Row],[Lead time delivery (day)]],"over deliverry","Ontime")</f>
        <v>Ontime</v>
      </c>
      <c r="AC3" s="56" t="s">
        <v>221</v>
      </c>
      <c r="AD3" s="48"/>
    </row>
    <row r="4" spans="1:30" ht="14.25" x14ac:dyDescent="0.3">
      <c r="A4" s="28">
        <f>ROW()-ROW(RawDataGenPO[[#Headers],[No.]])</f>
        <v>3</v>
      </c>
      <c r="B4" s="33" t="s">
        <v>14</v>
      </c>
      <c r="C4" s="30">
        <v>45972</v>
      </c>
      <c r="D4" s="28" t="s">
        <v>96</v>
      </c>
      <c r="E4" s="28" t="s">
        <v>523</v>
      </c>
      <c r="F4" s="37">
        <v>45988</v>
      </c>
      <c r="G4" s="38">
        <v>120</v>
      </c>
      <c r="H4" s="28" t="s">
        <v>40</v>
      </c>
      <c r="I4" s="28">
        <v>1</v>
      </c>
      <c r="J4" s="39" t="s">
        <v>521</v>
      </c>
      <c r="K4" s="43">
        <v>1</v>
      </c>
      <c r="L4" s="28" t="s">
        <v>41</v>
      </c>
      <c r="M4" s="41">
        <f t="shared" ref="M4:M6" si="1">N4/K4</f>
        <v>158000</v>
      </c>
      <c r="N4" s="42">
        <v>158000</v>
      </c>
      <c r="O4" s="43"/>
      <c r="P4" s="59">
        <v>158000</v>
      </c>
      <c r="Q4" s="59"/>
      <c r="R4" s="59"/>
      <c r="S4" s="59"/>
      <c r="T4" s="59"/>
      <c r="U4" s="59">
        <f>RawDataGenPO[[#This Row],[Total price]]-RawDataGenPO[[#This Row],[Column1]]-RawDataGenPO[[#This Row],[Column14]]-RawDataGenPO[[#This Row],[Column13]]-RawDataGenPO[[#This Row],[Column12]]</f>
        <v>0</v>
      </c>
      <c r="V4" s="33" t="s">
        <v>203</v>
      </c>
      <c r="W4" s="44" t="s">
        <v>8</v>
      </c>
      <c r="X4" s="28" t="s">
        <v>528</v>
      </c>
      <c r="Y4" s="35">
        <v>46003</v>
      </c>
      <c r="Z4" s="45"/>
      <c r="AA4" s="46">
        <f>IF(RawDataGenPO[[#This Row],[Date Gen PO]]="","",RawDataGenPO[[#This Row],[Date recive bill]]-RawDataGenPO[[#This Row],[Date Gen PO]])</f>
        <v>15</v>
      </c>
      <c r="AB4" s="47" t="str">
        <f>IF(RawDataGenPO[[#This Row],[GRN-PO date]]&gt;RawDataGenPO[[#This Row],[Lead time delivery (day)]],"over deliverry","Ontime")</f>
        <v>Ontime</v>
      </c>
      <c r="AC4" s="56" t="s">
        <v>221</v>
      </c>
      <c r="AD4" s="48" t="s">
        <v>529</v>
      </c>
    </row>
    <row r="5" spans="1:30" ht="57" x14ac:dyDescent="0.3">
      <c r="A5" s="28">
        <f>ROW()-ROW(RawDataGenPO[[#Headers],[No.]])</f>
        <v>4</v>
      </c>
      <c r="B5" s="33" t="s">
        <v>14</v>
      </c>
      <c r="C5" s="30">
        <v>45972</v>
      </c>
      <c r="D5" s="28" t="s">
        <v>96</v>
      </c>
      <c r="E5" s="28" t="s">
        <v>523</v>
      </c>
      <c r="F5" s="37">
        <v>45988</v>
      </c>
      <c r="G5" s="38">
        <v>120</v>
      </c>
      <c r="H5" s="28" t="s">
        <v>40</v>
      </c>
      <c r="I5" s="28">
        <v>2</v>
      </c>
      <c r="J5" s="39" t="s">
        <v>522</v>
      </c>
      <c r="K5" s="43">
        <v>1</v>
      </c>
      <c r="L5" s="28" t="s">
        <v>41</v>
      </c>
      <c r="M5" s="41">
        <f t="shared" si="1"/>
        <v>2500</v>
      </c>
      <c r="N5" s="42">
        <v>2500</v>
      </c>
      <c r="O5" s="43"/>
      <c r="P5" s="59">
        <v>2500</v>
      </c>
      <c r="Q5" s="59"/>
      <c r="R5" s="59"/>
      <c r="S5" s="59"/>
      <c r="T5" s="59"/>
      <c r="U5" s="59">
        <f>RawDataGenPO[[#This Row],[Total price]]-RawDataGenPO[[#This Row],[Column1]]-RawDataGenPO[[#This Row],[Column14]]-RawDataGenPO[[#This Row],[Column13]]-RawDataGenPO[[#This Row],[Column12]]</f>
        <v>0</v>
      </c>
      <c r="V5" s="33" t="s">
        <v>203</v>
      </c>
      <c r="W5" s="44" t="s">
        <v>8</v>
      </c>
      <c r="X5" s="28" t="s">
        <v>528</v>
      </c>
      <c r="Y5" s="35">
        <v>46003</v>
      </c>
      <c r="Z5" s="45"/>
      <c r="AA5" s="46">
        <f>IF(RawDataGenPO[[#This Row],[Date Gen PO]]="","",RawDataGenPO[[#This Row],[Date recive bill]]-RawDataGenPO[[#This Row],[Date Gen PO]])</f>
        <v>15</v>
      </c>
      <c r="AB5" s="47" t="str">
        <f>IF(RawDataGenPO[[#This Row],[GRN-PO date]]&gt;RawDataGenPO[[#This Row],[Lead time delivery (day)]],"over deliverry","Ontime")</f>
        <v>Ontime</v>
      </c>
      <c r="AC5" s="56" t="s">
        <v>221</v>
      </c>
      <c r="AD5" s="48" t="s">
        <v>529</v>
      </c>
    </row>
    <row r="6" spans="1:30" ht="14.25" x14ac:dyDescent="0.3">
      <c r="A6" s="28">
        <f>ROW()-ROW(RawDataGenPO[[#Headers],[No.]])</f>
        <v>5</v>
      </c>
      <c r="B6" s="33" t="s">
        <v>14</v>
      </c>
      <c r="C6" s="30">
        <v>45972</v>
      </c>
      <c r="D6" s="28" t="s">
        <v>96</v>
      </c>
      <c r="E6" s="28" t="s">
        <v>524</v>
      </c>
      <c r="F6" s="37">
        <v>45988</v>
      </c>
      <c r="G6" s="38">
        <v>120</v>
      </c>
      <c r="H6" s="28" t="s">
        <v>40</v>
      </c>
      <c r="I6" s="28">
        <v>1</v>
      </c>
      <c r="J6" s="39" t="s">
        <v>525</v>
      </c>
      <c r="K6" s="43">
        <v>1</v>
      </c>
      <c r="L6" s="28" t="s">
        <v>41</v>
      </c>
      <c r="M6" s="41">
        <f t="shared" si="1"/>
        <v>104000</v>
      </c>
      <c r="N6" s="42">
        <v>104000</v>
      </c>
      <c r="O6" s="43"/>
      <c r="P6" s="59">
        <v>104000</v>
      </c>
      <c r="Q6" s="59"/>
      <c r="R6" s="59"/>
      <c r="S6" s="59"/>
      <c r="T6" s="59"/>
      <c r="U6" s="59">
        <f>RawDataGenPO[[#This Row],[Total price]]-RawDataGenPO[[#This Row],[Column1]]-RawDataGenPO[[#This Row],[Column14]]-RawDataGenPO[[#This Row],[Column13]]-RawDataGenPO[[#This Row],[Column12]]</f>
        <v>0</v>
      </c>
      <c r="V6" s="33" t="s">
        <v>203</v>
      </c>
      <c r="W6" s="44" t="s">
        <v>8</v>
      </c>
      <c r="X6" s="28" t="s">
        <v>527</v>
      </c>
      <c r="Y6" s="35">
        <v>46055</v>
      </c>
      <c r="Z6" s="45"/>
      <c r="AA6" s="46">
        <f>IF(RawDataGenPO[[#This Row],[Date Gen PO]]="","",RawDataGenPO[[#This Row],[Date recive bill]]-RawDataGenPO[[#This Row],[Date Gen PO]])</f>
        <v>67</v>
      </c>
      <c r="AB6" s="47" t="str">
        <f>IF(RawDataGenPO[[#This Row],[GRN-PO date]]&gt;RawDataGenPO[[#This Row],[Lead time delivery (day)]],"over deliverry","Ontime")</f>
        <v>Ontime</v>
      </c>
      <c r="AC6" s="56" t="s">
        <v>221</v>
      </c>
      <c r="AD6" s="48"/>
    </row>
    <row r="7" spans="1:30" ht="14.25" x14ac:dyDescent="0.3">
      <c r="A7" s="28">
        <f>ROW()-ROW(RawDataGenPO[[#Headers],[No.]])</f>
        <v>6</v>
      </c>
      <c r="B7" s="33" t="s">
        <v>14</v>
      </c>
      <c r="C7" s="30">
        <v>45972</v>
      </c>
      <c r="D7" s="28" t="s">
        <v>96</v>
      </c>
      <c r="E7" s="28" t="s">
        <v>524</v>
      </c>
      <c r="F7" s="37">
        <v>45988</v>
      </c>
      <c r="G7" s="38">
        <v>120</v>
      </c>
      <c r="H7" s="28" t="s">
        <v>40</v>
      </c>
      <c r="I7" s="28">
        <v>2</v>
      </c>
      <c r="J7" s="39" t="s">
        <v>526</v>
      </c>
      <c r="K7" s="43">
        <v>1</v>
      </c>
      <c r="L7" s="28" t="s">
        <v>41</v>
      </c>
      <c r="M7" s="41">
        <f>N7/K7</f>
        <v>20800</v>
      </c>
      <c r="N7" s="42">
        <v>20800</v>
      </c>
      <c r="O7" s="43"/>
      <c r="P7" s="59">
        <v>20800</v>
      </c>
      <c r="Q7" s="59"/>
      <c r="R7" s="59"/>
      <c r="S7" s="59"/>
      <c r="T7" s="59"/>
      <c r="U7" s="59">
        <f>RawDataGenPO[[#This Row],[Total price]]-RawDataGenPO[[#This Row],[Column1]]-RawDataGenPO[[#This Row],[Column14]]-RawDataGenPO[[#This Row],[Column13]]-RawDataGenPO[[#This Row],[Column12]]</f>
        <v>0</v>
      </c>
      <c r="V7" s="33" t="s">
        <v>203</v>
      </c>
      <c r="W7" s="44" t="s">
        <v>8</v>
      </c>
      <c r="X7" s="28" t="s">
        <v>527</v>
      </c>
      <c r="Y7" s="35">
        <v>46055</v>
      </c>
      <c r="Z7" s="45"/>
      <c r="AA7" s="46">
        <f>IF(RawDataGenPO[[#This Row],[Date Gen PO]]="","",RawDataGenPO[[#This Row],[Date recive bill]]-RawDataGenPO[[#This Row],[Date Gen PO]])</f>
        <v>67</v>
      </c>
      <c r="AB7" s="47" t="str">
        <f>IF(RawDataGenPO[[#This Row],[GRN-PO date]]&gt;RawDataGenPO[[#This Row],[Lead time delivery (day)]],"over deliverry","Ontime")</f>
        <v>Ontime</v>
      </c>
      <c r="AC7" s="56" t="s">
        <v>221</v>
      </c>
      <c r="AD7" s="48"/>
    </row>
    <row r="8" spans="1:30" ht="42.75" x14ac:dyDescent="0.3">
      <c r="A8" s="28">
        <f>ROW()-ROW(RawDataGenPO[[#Headers],[No.]])</f>
        <v>7</v>
      </c>
      <c r="B8" s="33" t="s">
        <v>14</v>
      </c>
      <c r="C8" s="30">
        <v>45972</v>
      </c>
      <c r="D8" s="28" t="s">
        <v>96</v>
      </c>
      <c r="E8" s="28" t="s">
        <v>202</v>
      </c>
      <c r="F8" s="37">
        <v>45988</v>
      </c>
      <c r="G8" s="38">
        <v>120</v>
      </c>
      <c r="H8" s="28" t="s">
        <v>40</v>
      </c>
      <c r="I8" s="28">
        <v>1</v>
      </c>
      <c r="J8" s="39" t="s">
        <v>204</v>
      </c>
      <c r="K8" s="43">
        <v>1</v>
      </c>
      <c r="L8" s="28" t="s">
        <v>41</v>
      </c>
      <c r="M8" s="41">
        <f t="shared" si="0"/>
        <v>795000</v>
      </c>
      <c r="N8" s="42">
        <v>795000</v>
      </c>
      <c r="O8" s="43"/>
      <c r="P8" s="43"/>
      <c r="Q8" s="43"/>
      <c r="R8" s="43"/>
      <c r="S8" s="43"/>
      <c r="T8" s="43"/>
      <c r="U8" s="43">
        <f>RawDataGenPO[[#This Row],[Total price]]-RawDataGenPO[[#This Row],[Column1]]-RawDataGenPO[[#This Row],[Column14]]-RawDataGenPO[[#This Row],[Column13]]-RawDataGenPO[[#This Row],[Column12]]</f>
        <v>795000</v>
      </c>
      <c r="V8" s="33" t="s">
        <v>203</v>
      </c>
      <c r="W8" s="44" t="s">
        <v>9</v>
      </c>
      <c r="Z8" s="45"/>
      <c r="AA8" s="46">
        <f>IF(RawDataGenPO[[#This Row],[Date Gen PO]]="","",RawDataGenPO[[#This Row],[Date recive bill]]-RawDataGenPO[[#This Row],[Date Gen PO]])</f>
        <v>-45988</v>
      </c>
      <c r="AB8" s="47" t="str">
        <f>IF(RawDataGenPO[[#This Row],[GRN-PO date]]&gt;RawDataGenPO[[#This Row],[Lead time delivery (day)]],"over deliverry","Ontime")</f>
        <v>Ontime</v>
      </c>
      <c r="AC8" s="56" t="s">
        <v>219</v>
      </c>
      <c r="AD8" s="48"/>
    </row>
    <row r="9" spans="1:30" ht="57" x14ac:dyDescent="0.3">
      <c r="A9" s="28">
        <f>ROW()-ROW(RawDataGenPO[[#Headers],[No.]])</f>
        <v>8</v>
      </c>
      <c r="B9" s="33" t="s">
        <v>14</v>
      </c>
      <c r="C9" s="30">
        <v>45972</v>
      </c>
      <c r="D9" s="28" t="s">
        <v>96</v>
      </c>
      <c r="E9" s="28" t="s">
        <v>202</v>
      </c>
      <c r="F9" s="37">
        <v>45988</v>
      </c>
      <c r="G9" s="38">
        <v>120</v>
      </c>
      <c r="H9" s="28" t="s">
        <v>40</v>
      </c>
      <c r="I9" s="28">
        <v>2</v>
      </c>
      <c r="J9" s="39" t="s">
        <v>205</v>
      </c>
      <c r="K9" s="43">
        <v>1</v>
      </c>
      <c r="L9" s="28" t="s">
        <v>41</v>
      </c>
      <c r="M9" s="41">
        <f t="shared" si="0"/>
        <v>245000</v>
      </c>
      <c r="N9" s="42">
        <v>245000</v>
      </c>
      <c r="O9" s="43"/>
      <c r="P9" s="43"/>
      <c r="Q9" s="43"/>
      <c r="R9" s="43"/>
      <c r="S9" s="43"/>
      <c r="T9" s="43"/>
      <c r="U9" s="43">
        <f>RawDataGenPO[[#This Row],[Total price]]-RawDataGenPO[[#This Row],[Column1]]-RawDataGenPO[[#This Row],[Column14]]-RawDataGenPO[[#This Row],[Column13]]-RawDataGenPO[[#This Row],[Column12]]</f>
        <v>245000</v>
      </c>
      <c r="V9" s="33" t="s">
        <v>203</v>
      </c>
      <c r="W9" s="44" t="s">
        <v>9</v>
      </c>
      <c r="Z9" s="45"/>
      <c r="AA9" s="46">
        <f>IF(RawDataGenPO[[#This Row],[Date Gen PO]]="","",RawDataGenPO[[#This Row],[Date recive bill]]-RawDataGenPO[[#This Row],[Date Gen PO]])</f>
        <v>-45988</v>
      </c>
      <c r="AB9" s="47" t="str">
        <f>IF(RawDataGenPO[[#This Row],[GRN-PO date]]&gt;RawDataGenPO[[#This Row],[Lead time delivery (day)]],"over deliverry","Ontime")</f>
        <v>Ontime</v>
      </c>
      <c r="AC9" s="56" t="s">
        <v>219</v>
      </c>
      <c r="AD9" s="48"/>
    </row>
    <row r="10" spans="1:30" ht="28.5" x14ac:dyDescent="0.3">
      <c r="A10" s="28">
        <f>ROW()-ROW(RawDataGenPO[[#Headers],[No.]])</f>
        <v>9</v>
      </c>
      <c r="B10" s="33" t="s">
        <v>14</v>
      </c>
      <c r="C10" s="30">
        <v>45972</v>
      </c>
      <c r="D10" s="28" t="s">
        <v>97</v>
      </c>
      <c r="E10" s="28" t="s">
        <v>206</v>
      </c>
      <c r="F10" s="55">
        <v>45985</v>
      </c>
      <c r="G10" s="38">
        <v>120</v>
      </c>
      <c r="H10" s="28" t="s">
        <v>40</v>
      </c>
      <c r="I10" s="28">
        <v>1</v>
      </c>
      <c r="J10" s="39" t="s">
        <v>98</v>
      </c>
      <c r="K10" s="43">
        <v>6</v>
      </c>
      <c r="L10" s="28" t="s">
        <v>38</v>
      </c>
      <c r="M10" s="41">
        <f t="shared" si="0"/>
        <v>12600</v>
      </c>
      <c r="N10" s="42">
        <v>75600</v>
      </c>
      <c r="O10" s="43"/>
      <c r="P10" s="59">
        <f>RawDataGenPO[[#This Row],[Total price]]*100/100</f>
        <v>75600</v>
      </c>
      <c r="Q10" s="59"/>
      <c r="R10" s="59"/>
      <c r="S10" s="59"/>
      <c r="T10" s="59"/>
      <c r="U10" s="59">
        <f>RawDataGenPO[[#This Row],[Total price]]-RawDataGenPO[[#This Row],[Column1]]-RawDataGenPO[[#This Row],[Column14]]-RawDataGenPO[[#This Row],[Column13]]-RawDataGenPO[[#This Row],[Column12]]</f>
        <v>0</v>
      </c>
      <c r="V10" s="33" t="s">
        <v>207</v>
      </c>
      <c r="W10" s="44" t="s">
        <v>8</v>
      </c>
      <c r="X10" s="28" t="s">
        <v>293</v>
      </c>
      <c r="Y10" s="35">
        <v>46013</v>
      </c>
      <c r="Z10" s="45"/>
      <c r="AA10" s="46">
        <f>IF(RawDataGenPO[[#This Row],[Date Gen PO]]="","",RawDataGenPO[[#This Row],[Date recive bill]]-RawDataGenPO[[#This Row],[Date Gen PO]])</f>
        <v>28</v>
      </c>
      <c r="AB10" s="47" t="str">
        <f>IF(RawDataGenPO[[#This Row],[GRN-PO date]]&gt;RawDataGenPO[[#This Row],[Lead time delivery (day)]],"over deliverry","Ontime")</f>
        <v>Ontime</v>
      </c>
      <c r="AC10" s="56" t="s">
        <v>219</v>
      </c>
      <c r="AD10" s="48"/>
    </row>
    <row r="11" spans="1:30" ht="14.25" x14ac:dyDescent="0.3">
      <c r="A11" s="28">
        <f>ROW()-ROW(RawDataGenPO[[#Headers],[No.]])</f>
        <v>10</v>
      </c>
      <c r="B11" s="33" t="s">
        <v>14</v>
      </c>
      <c r="C11" s="30">
        <v>45972</v>
      </c>
      <c r="D11" s="28" t="s">
        <v>97</v>
      </c>
      <c r="E11" s="28" t="s">
        <v>208</v>
      </c>
      <c r="F11" s="37">
        <v>45988</v>
      </c>
      <c r="G11" s="38">
        <v>120</v>
      </c>
      <c r="H11" s="28" t="s">
        <v>40</v>
      </c>
      <c r="I11" s="28">
        <v>2</v>
      </c>
      <c r="J11" s="39" t="s">
        <v>99</v>
      </c>
      <c r="K11" s="43">
        <v>1</v>
      </c>
      <c r="L11" s="28" t="s">
        <v>38</v>
      </c>
      <c r="M11" s="41">
        <f t="shared" si="0"/>
        <v>6500</v>
      </c>
      <c r="N11" s="42">
        <v>6500</v>
      </c>
      <c r="O11" s="43"/>
      <c r="P11" s="59">
        <v>6500</v>
      </c>
      <c r="Q11" s="59"/>
      <c r="R11" s="59"/>
      <c r="S11" s="59"/>
      <c r="T11" s="59"/>
      <c r="U11" s="59">
        <f>RawDataGenPO[[#This Row],[Total price]]-RawDataGenPO[[#This Row],[Column1]]-RawDataGenPO[[#This Row],[Column14]]-RawDataGenPO[[#This Row],[Column13]]-RawDataGenPO[[#This Row],[Column12]]</f>
        <v>0</v>
      </c>
      <c r="V11" s="33" t="s">
        <v>209</v>
      </c>
      <c r="W11" s="44" t="s">
        <v>8</v>
      </c>
      <c r="X11" s="28" t="s">
        <v>553</v>
      </c>
      <c r="Y11" s="35">
        <v>46066</v>
      </c>
      <c r="Z11" s="45"/>
      <c r="AA11" s="46">
        <f>IF(RawDataGenPO[[#This Row],[Date Gen PO]]="","",RawDataGenPO[[#This Row],[Date recive bill]]-RawDataGenPO[[#This Row],[Date Gen PO]])</f>
        <v>78</v>
      </c>
      <c r="AB11" s="47" t="str">
        <f>IF(RawDataGenPO[[#This Row],[GRN-PO date]]&gt;RawDataGenPO[[#This Row],[Lead time delivery (day)]],"over deliverry","Ontime")</f>
        <v>Ontime</v>
      </c>
      <c r="AC11" s="56" t="s">
        <v>219</v>
      </c>
      <c r="AD11" s="48"/>
    </row>
    <row r="12" spans="1:30" ht="28.5" x14ac:dyDescent="0.3">
      <c r="A12" s="28">
        <f>ROW()-ROW(RawDataGenPO[[#Headers],[No.]])</f>
        <v>11</v>
      </c>
      <c r="B12" s="33" t="s">
        <v>14</v>
      </c>
      <c r="C12" s="30">
        <v>45972</v>
      </c>
      <c r="D12" s="28" t="s">
        <v>97</v>
      </c>
      <c r="E12" s="28" t="s">
        <v>210</v>
      </c>
      <c r="F12" s="55">
        <v>45985</v>
      </c>
      <c r="G12" s="38">
        <v>120</v>
      </c>
      <c r="H12" s="28" t="s">
        <v>40</v>
      </c>
      <c r="I12" s="28">
        <v>3</v>
      </c>
      <c r="J12" s="39" t="s">
        <v>100</v>
      </c>
      <c r="K12" s="43">
        <v>25</v>
      </c>
      <c r="L12" s="28" t="s">
        <v>38</v>
      </c>
      <c r="M12" s="41">
        <f t="shared" si="0"/>
        <v>6500</v>
      </c>
      <c r="N12" s="42">
        <v>162500</v>
      </c>
      <c r="O12" s="43"/>
      <c r="P12" s="59">
        <f>RawDataGenPO[[#This Row],[Total price]]*100/100</f>
        <v>162500</v>
      </c>
      <c r="Q12" s="59"/>
      <c r="R12" s="59"/>
      <c r="S12" s="59"/>
      <c r="T12" s="59"/>
      <c r="U12" s="59">
        <f>RawDataGenPO[[#This Row],[Total price]]-RawDataGenPO[[#This Row],[Column1]]-RawDataGenPO[[#This Row],[Column14]]-RawDataGenPO[[#This Row],[Column13]]-RawDataGenPO[[#This Row],[Column12]]</f>
        <v>0</v>
      </c>
      <c r="V12" s="33" t="s">
        <v>211</v>
      </c>
      <c r="W12" s="44" t="s">
        <v>8</v>
      </c>
      <c r="X12" s="28" t="s">
        <v>232</v>
      </c>
      <c r="Y12" s="35">
        <v>46003</v>
      </c>
      <c r="Z12" s="45"/>
      <c r="AA12" s="46">
        <f>IF(RawDataGenPO[[#This Row],[Date Gen PO]]="","",RawDataGenPO[[#This Row],[Date recive bill]]-RawDataGenPO[[#This Row],[Date Gen PO]])</f>
        <v>18</v>
      </c>
      <c r="AB12" s="47" t="str">
        <f>IF(RawDataGenPO[[#This Row],[GRN-PO date]]&gt;RawDataGenPO[[#This Row],[Lead time delivery (day)]],"over deliverry","Ontime")</f>
        <v>Ontime</v>
      </c>
      <c r="AC12" s="56" t="s">
        <v>219</v>
      </c>
      <c r="AD12" s="48"/>
    </row>
    <row r="13" spans="1:30" ht="28.5" x14ac:dyDescent="0.3">
      <c r="A13" s="28">
        <f>ROW()-ROW(RawDataGenPO[[#Headers],[No.]])</f>
        <v>12</v>
      </c>
      <c r="B13" s="33" t="s">
        <v>14</v>
      </c>
      <c r="C13" s="30">
        <v>45972</v>
      </c>
      <c r="D13" s="28" t="s">
        <v>97</v>
      </c>
      <c r="E13" s="28" t="s">
        <v>208</v>
      </c>
      <c r="F13" s="37">
        <v>45988</v>
      </c>
      <c r="G13" s="38">
        <v>120</v>
      </c>
      <c r="H13" s="28" t="s">
        <v>40</v>
      </c>
      <c r="I13" s="28">
        <v>4</v>
      </c>
      <c r="J13" s="39" t="s">
        <v>101</v>
      </c>
      <c r="K13" s="43">
        <v>29</v>
      </c>
      <c r="L13" s="28" t="s">
        <v>38</v>
      </c>
      <c r="M13" s="41">
        <f t="shared" si="0"/>
        <v>10500</v>
      </c>
      <c r="N13" s="42">
        <v>304500</v>
      </c>
      <c r="O13" s="43"/>
      <c r="P13" s="43"/>
      <c r="Q13" s="43"/>
      <c r="R13" s="43"/>
      <c r="S13" s="43"/>
      <c r="T13" s="43"/>
      <c r="U13" s="43">
        <f>RawDataGenPO[[#This Row],[Total price]]-RawDataGenPO[[#This Row],[Column1]]-RawDataGenPO[[#This Row],[Column14]]-RawDataGenPO[[#This Row],[Column13]]-RawDataGenPO[[#This Row],[Column12]]</f>
        <v>304500</v>
      </c>
      <c r="V13" s="33" t="s">
        <v>209</v>
      </c>
      <c r="W13" s="44" t="s">
        <v>9</v>
      </c>
      <c r="Z13" s="45"/>
      <c r="AA13" s="46">
        <f>IF(RawDataGenPO[[#This Row],[Date Gen PO]]="","",RawDataGenPO[[#This Row],[Date recive bill]]-RawDataGenPO[[#This Row],[Date Gen PO]])</f>
        <v>-45988</v>
      </c>
      <c r="AB13" s="47" t="str">
        <f>IF(RawDataGenPO[[#This Row],[GRN-PO date]]&gt;RawDataGenPO[[#This Row],[Lead time delivery (day)]],"over deliverry","Ontime")</f>
        <v>Ontime</v>
      </c>
      <c r="AC13" s="56" t="s">
        <v>219</v>
      </c>
      <c r="AD13" s="48"/>
    </row>
    <row r="14" spans="1:30" ht="28.5" x14ac:dyDescent="0.3">
      <c r="A14" s="28">
        <f>ROW()-ROW(RawDataGenPO[[#Headers],[No.]])</f>
        <v>13</v>
      </c>
      <c r="B14" s="33" t="s">
        <v>14</v>
      </c>
      <c r="C14" s="30">
        <v>45972</v>
      </c>
      <c r="D14" s="28" t="s">
        <v>97</v>
      </c>
      <c r="E14" s="28" t="s">
        <v>208</v>
      </c>
      <c r="F14" s="37">
        <v>45988</v>
      </c>
      <c r="G14" s="38">
        <v>120</v>
      </c>
      <c r="H14" s="28" t="s">
        <v>40</v>
      </c>
      <c r="I14" s="28">
        <v>5</v>
      </c>
      <c r="J14" s="39" t="s">
        <v>102</v>
      </c>
      <c r="K14" s="43">
        <v>5</v>
      </c>
      <c r="L14" s="28" t="s">
        <v>38</v>
      </c>
      <c r="M14" s="41">
        <f t="shared" si="0"/>
        <v>1800</v>
      </c>
      <c r="N14" s="42">
        <v>9000</v>
      </c>
      <c r="O14" s="43"/>
      <c r="P14" s="59">
        <v>9000</v>
      </c>
      <c r="Q14" s="59"/>
      <c r="R14" s="59"/>
      <c r="S14" s="59"/>
      <c r="T14" s="59"/>
      <c r="U14" s="59">
        <f>RawDataGenPO[[#This Row],[Total price]]-RawDataGenPO[[#This Row],[Column1]]-RawDataGenPO[[#This Row],[Column14]]-RawDataGenPO[[#This Row],[Column13]]-RawDataGenPO[[#This Row],[Column12]]</f>
        <v>0</v>
      </c>
      <c r="V14" s="33" t="s">
        <v>209</v>
      </c>
      <c r="W14" s="44" t="s">
        <v>8</v>
      </c>
      <c r="X14" s="28" t="s">
        <v>553</v>
      </c>
      <c r="Y14" s="35">
        <v>46066</v>
      </c>
      <c r="Z14" s="45"/>
      <c r="AA14" s="46">
        <f>IF(RawDataGenPO[[#This Row],[Date Gen PO]]="","",RawDataGenPO[[#This Row],[Date recive bill]]-RawDataGenPO[[#This Row],[Date Gen PO]])</f>
        <v>78</v>
      </c>
      <c r="AB14" s="47" t="str">
        <f>IF(RawDataGenPO[[#This Row],[GRN-PO date]]&gt;RawDataGenPO[[#This Row],[Lead time delivery (day)]],"over deliverry","Ontime")</f>
        <v>Ontime</v>
      </c>
      <c r="AC14" s="56" t="s">
        <v>219</v>
      </c>
      <c r="AD14" s="48"/>
    </row>
    <row r="15" spans="1:30" ht="14.25" x14ac:dyDescent="0.3">
      <c r="A15" s="28">
        <f>ROW()-ROW(RawDataGenPO[[#Headers],[No.]])</f>
        <v>14</v>
      </c>
      <c r="B15" s="33" t="s">
        <v>95</v>
      </c>
      <c r="C15" s="30">
        <v>45972</v>
      </c>
      <c r="D15" s="28" t="s">
        <v>103</v>
      </c>
      <c r="E15" s="28" t="s">
        <v>212</v>
      </c>
      <c r="F15" s="37">
        <v>45988</v>
      </c>
      <c r="G15" s="38">
        <v>180</v>
      </c>
      <c r="H15" s="28" t="s">
        <v>37</v>
      </c>
      <c r="I15" s="28">
        <v>1</v>
      </c>
      <c r="J15" s="39" t="s">
        <v>104</v>
      </c>
      <c r="K15" s="43">
        <v>1000</v>
      </c>
      <c r="L15" s="28" t="s">
        <v>38</v>
      </c>
      <c r="M15" s="41">
        <f t="shared" si="0"/>
        <v>1780</v>
      </c>
      <c r="N15" s="42">
        <v>1780000</v>
      </c>
      <c r="O15" s="43"/>
      <c r="P15" s="57">
        <f>RawDataGenPO[[#This Row],[Total price]]*40/100</f>
        <v>712000</v>
      </c>
      <c r="Q15" s="57">
        <v>726240</v>
      </c>
      <c r="R15" s="57"/>
      <c r="S15" s="57"/>
      <c r="T15" s="57"/>
      <c r="U15" s="57">
        <f>RawDataGenPO[[#This Row],[Total price]]-RawDataGenPO[[#This Row],[Column1]]-RawDataGenPO[[#This Row],[Column14]]-RawDataGenPO[[#This Row],[Column13]]-RawDataGenPO[[#This Row],[Column12]]</f>
        <v>341760</v>
      </c>
      <c r="V15" s="33" t="s">
        <v>213</v>
      </c>
      <c r="W15" s="44" t="s">
        <v>8</v>
      </c>
      <c r="X15" s="28" t="s">
        <v>640</v>
      </c>
      <c r="Y15" s="35">
        <v>46160</v>
      </c>
      <c r="Z15" s="45"/>
      <c r="AA15" s="46">
        <f>IF(RawDataGenPO[[#This Row],[Date Gen PO]]="","",RawDataGenPO[[#This Row],[Date recive bill]]-RawDataGenPO[[#This Row],[Date Gen PO]])</f>
        <v>172</v>
      </c>
      <c r="AB15" s="47" t="str">
        <f>IF(RawDataGenPO[[#This Row],[GRN-PO date]]&gt;RawDataGenPO[[#This Row],[Lead time delivery (day)]],"over deliverry","Ontime")</f>
        <v>Ontime</v>
      </c>
      <c r="AC15" s="56" t="s">
        <v>219</v>
      </c>
      <c r="AD15" s="48"/>
    </row>
    <row r="16" spans="1:30" ht="14.25" x14ac:dyDescent="0.3">
      <c r="A16" s="28">
        <f>ROW()-ROW(RawDataGenPO[[#Headers],[No.]])</f>
        <v>15</v>
      </c>
      <c r="B16" s="33" t="s">
        <v>95</v>
      </c>
      <c r="C16" s="30">
        <v>45972</v>
      </c>
      <c r="D16" s="28" t="s">
        <v>103</v>
      </c>
      <c r="E16" s="28" t="s">
        <v>212</v>
      </c>
      <c r="F16" s="37">
        <v>45988</v>
      </c>
      <c r="G16" s="38">
        <v>180</v>
      </c>
      <c r="H16" s="28" t="s">
        <v>37</v>
      </c>
      <c r="I16" s="28">
        <v>2</v>
      </c>
      <c r="J16" s="39" t="s">
        <v>105</v>
      </c>
      <c r="K16" s="43">
        <v>200</v>
      </c>
      <c r="L16" s="28" t="s">
        <v>38</v>
      </c>
      <c r="M16" s="41">
        <f t="shared" si="0"/>
        <v>2040</v>
      </c>
      <c r="N16" s="42">
        <v>408000</v>
      </c>
      <c r="O16" s="43"/>
      <c r="P16" s="57">
        <f>RawDataGenPO[[#This Row],[Total price]]*40/100</f>
        <v>163200</v>
      </c>
      <c r="Q16" s="57">
        <v>29376</v>
      </c>
      <c r="R16" s="57"/>
      <c r="S16" s="57"/>
      <c r="T16" s="57"/>
      <c r="U16" s="57">
        <f>RawDataGenPO[[#This Row],[Total price]]-RawDataGenPO[[#This Row],[Column1]]-RawDataGenPO[[#This Row],[Column14]]-RawDataGenPO[[#This Row],[Column13]]-RawDataGenPO[[#This Row],[Column12]]</f>
        <v>215424</v>
      </c>
      <c r="V16" s="33" t="s">
        <v>213</v>
      </c>
      <c r="W16" s="44" t="s">
        <v>8</v>
      </c>
      <c r="X16" s="28" t="s">
        <v>640</v>
      </c>
      <c r="Y16" s="35">
        <v>46160</v>
      </c>
      <c r="Z16" s="45"/>
      <c r="AA16" s="46">
        <f>IF(RawDataGenPO[[#This Row],[Date Gen PO]]="","",RawDataGenPO[[#This Row],[Date recive bill]]-RawDataGenPO[[#This Row],[Date Gen PO]])</f>
        <v>172</v>
      </c>
      <c r="AB16" s="47" t="str">
        <f>IF(RawDataGenPO[[#This Row],[GRN-PO date]]&gt;RawDataGenPO[[#This Row],[Lead time delivery (day)]],"over deliverry","Ontime")</f>
        <v>Ontime</v>
      </c>
      <c r="AC16" s="56" t="s">
        <v>219</v>
      </c>
      <c r="AD16" s="48"/>
    </row>
    <row r="17" spans="1:30" ht="14.25" x14ac:dyDescent="0.3">
      <c r="A17" s="28">
        <f>ROW()-ROW(RawDataGenPO[[#Headers],[No.]])</f>
        <v>16</v>
      </c>
      <c r="B17" s="33" t="s">
        <v>95</v>
      </c>
      <c r="C17" s="30">
        <v>45972</v>
      </c>
      <c r="D17" s="28" t="s">
        <v>103</v>
      </c>
      <c r="E17" s="28" t="s">
        <v>212</v>
      </c>
      <c r="F17" s="37">
        <v>45988</v>
      </c>
      <c r="G17" s="38">
        <v>180</v>
      </c>
      <c r="H17" s="28" t="s">
        <v>37</v>
      </c>
      <c r="I17" s="28">
        <v>3</v>
      </c>
      <c r="J17" s="39" t="s">
        <v>106</v>
      </c>
      <c r="K17" s="43">
        <v>1200</v>
      </c>
      <c r="L17" s="28" t="s">
        <v>38</v>
      </c>
      <c r="M17" s="41">
        <f t="shared" si="0"/>
        <v>970</v>
      </c>
      <c r="N17" s="42">
        <v>1164000</v>
      </c>
      <c r="O17" s="43"/>
      <c r="P17" s="57">
        <f>RawDataGenPO[[#This Row],[Total price]]*40/100</f>
        <v>465600</v>
      </c>
      <c r="Q17" s="57">
        <v>409728</v>
      </c>
      <c r="R17" s="57"/>
      <c r="S17" s="57"/>
      <c r="T17" s="57"/>
      <c r="U17" s="57">
        <f>RawDataGenPO[[#This Row],[Total price]]-RawDataGenPO[[#This Row],[Column1]]-RawDataGenPO[[#This Row],[Column14]]-RawDataGenPO[[#This Row],[Column13]]-RawDataGenPO[[#This Row],[Column12]]</f>
        <v>288672</v>
      </c>
      <c r="V17" s="33" t="s">
        <v>213</v>
      </c>
      <c r="W17" s="44" t="s">
        <v>8</v>
      </c>
      <c r="X17" s="28" t="s">
        <v>640</v>
      </c>
      <c r="Y17" s="35">
        <v>46160</v>
      </c>
      <c r="Z17" s="45"/>
      <c r="AA17" s="46">
        <f>IF(RawDataGenPO[[#This Row],[Date Gen PO]]="","",RawDataGenPO[[#This Row],[Date recive bill]]-RawDataGenPO[[#This Row],[Date Gen PO]])</f>
        <v>172</v>
      </c>
      <c r="AB17" s="47" t="str">
        <f>IF(RawDataGenPO[[#This Row],[GRN-PO date]]&gt;RawDataGenPO[[#This Row],[Lead time delivery (day)]],"over deliverry","Ontime")</f>
        <v>Ontime</v>
      </c>
      <c r="AC17" s="56" t="s">
        <v>219</v>
      </c>
      <c r="AD17" s="48"/>
    </row>
    <row r="18" spans="1:30" ht="28.5" x14ac:dyDescent="0.3">
      <c r="A18" s="28">
        <f>ROW()-ROW(RawDataGenPO[[#Headers],[No.]])</f>
        <v>17</v>
      </c>
      <c r="B18" s="33" t="s">
        <v>95</v>
      </c>
      <c r="C18" s="30">
        <v>45972</v>
      </c>
      <c r="D18" s="28" t="s">
        <v>103</v>
      </c>
      <c r="E18" s="28" t="s">
        <v>214</v>
      </c>
      <c r="F18" s="37">
        <v>45988</v>
      </c>
      <c r="G18" s="38">
        <v>120</v>
      </c>
      <c r="H18" s="28" t="s">
        <v>37</v>
      </c>
      <c r="I18" s="28">
        <v>4</v>
      </c>
      <c r="J18" s="39" t="s">
        <v>107</v>
      </c>
      <c r="K18" s="43">
        <v>383</v>
      </c>
      <c r="L18" s="28" t="s">
        <v>38</v>
      </c>
      <c r="M18" s="41">
        <f t="shared" si="0"/>
        <v>1000</v>
      </c>
      <c r="N18" s="42">
        <v>383000</v>
      </c>
      <c r="O18" s="59"/>
      <c r="P18" s="57">
        <f>RawDataGenPO[[#This Row],[Total price]]*30/100</f>
        <v>114900</v>
      </c>
      <c r="Q18" s="57">
        <v>84000</v>
      </c>
      <c r="R18" s="57">
        <v>184100</v>
      </c>
      <c r="S18" s="57"/>
      <c r="T18" s="57"/>
      <c r="U18" s="57">
        <f>RawDataGenPO[[#This Row],[Total price]]-RawDataGenPO[[#This Row],[Column1]]-RawDataGenPO[[#This Row],[Column14]]-RawDataGenPO[[#This Row],[Column13]]-RawDataGenPO[[#This Row],[Column12]]</f>
        <v>0</v>
      </c>
      <c r="V18" s="33" t="s">
        <v>215</v>
      </c>
      <c r="W18" s="44" t="s">
        <v>8</v>
      </c>
      <c r="X18" s="31" t="s">
        <v>492</v>
      </c>
      <c r="Y18" s="35">
        <v>46008</v>
      </c>
      <c r="Z18" s="45"/>
      <c r="AA18" s="46">
        <f>IF(RawDataGenPO[[#This Row],[Date Gen PO]]="","",RawDataGenPO[[#This Row],[Date recive bill]]-RawDataGenPO[[#This Row],[Date Gen PO]])</f>
        <v>20</v>
      </c>
      <c r="AB18" s="47" t="str">
        <f>IF(RawDataGenPO[[#This Row],[GRN-PO date]]&gt;RawDataGenPO[[#This Row],[Lead time delivery (day)]],"over deliverry","Ontime")</f>
        <v>Ontime</v>
      </c>
      <c r="AC18" s="56" t="s">
        <v>219</v>
      </c>
      <c r="AD18" s="48"/>
    </row>
    <row r="19" spans="1:30" ht="14.25" x14ac:dyDescent="0.3">
      <c r="A19" s="28">
        <f>ROW()-ROW(RawDataGenPO[[#Headers],[No.]])</f>
        <v>18</v>
      </c>
      <c r="B19" s="33" t="s">
        <v>14</v>
      </c>
      <c r="C19" s="30">
        <v>45972</v>
      </c>
      <c r="D19" s="28" t="s">
        <v>108</v>
      </c>
      <c r="E19" s="28" t="s">
        <v>216</v>
      </c>
      <c r="F19" s="37">
        <v>45988</v>
      </c>
      <c r="G19" s="38">
        <v>120</v>
      </c>
      <c r="H19" s="28" t="s">
        <v>40</v>
      </c>
      <c r="I19" s="28">
        <v>1</v>
      </c>
      <c r="J19" s="39" t="s">
        <v>109</v>
      </c>
      <c r="K19" s="43">
        <v>120</v>
      </c>
      <c r="L19" s="28" t="s">
        <v>38</v>
      </c>
      <c r="M19" s="41">
        <f t="shared" si="0"/>
        <v>16000</v>
      </c>
      <c r="N19" s="42">
        <v>1920000</v>
      </c>
      <c r="O19" s="43"/>
      <c r="P19" s="57">
        <f>RawDataGenPO[[#This Row],[Total price]]*30/100</f>
        <v>576000</v>
      </c>
      <c r="Q19" s="57">
        <v>448000</v>
      </c>
      <c r="R19" s="57">
        <v>896000</v>
      </c>
      <c r="S19" s="57"/>
      <c r="T19" s="57"/>
      <c r="U19" s="57">
        <f>RawDataGenPO[[#This Row],[Total price]]-RawDataGenPO[[#This Row],[Column1]]-RawDataGenPO[[#This Row],[Column14]]-RawDataGenPO[[#This Row],[Column13]]-RawDataGenPO[[#This Row],[Column12]]</f>
        <v>0</v>
      </c>
      <c r="V19" s="33" t="s">
        <v>215</v>
      </c>
      <c r="W19" s="44" t="s">
        <v>8</v>
      </c>
      <c r="X19" s="62" t="s">
        <v>433</v>
      </c>
      <c r="Y19" s="35">
        <v>46008</v>
      </c>
      <c r="Z19" s="45"/>
      <c r="AA19" s="46">
        <f>IF(RawDataGenPO[[#This Row],[Date Gen PO]]="","",RawDataGenPO[[#This Row],[Date recive bill]]-RawDataGenPO[[#This Row],[Date Gen PO]])</f>
        <v>20</v>
      </c>
      <c r="AB19" s="47" t="str">
        <f>IF(RawDataGenPO[[#This Row],[GRN-PO date]]&gt;RawDataGenPO[[#This Row],[Lead time delivery (day)]],"over deliverry","Ontime")</f>
        <v>Ontime</v>
      </c>
      <c r="AC19" s="56" t="s">
        <v>219</v>
      </c>
      <c r="AD19" s="48"/>
    </row>
    <row r="20" spans="1:30" ht="28.5" x14ac:dyDescent="0.3">
      <c r="A20" s="28">
        <f>ROW()-ROW(RawDataGenPO[[#Headers],[No.]])</f>
        <v>19</v>
      </c>
      <c r="B20" s="33" t="s">
        <v>14</v>
      </c>
      <c r="C20" s="30">
        <v>45972</v>
      </c>
      <c r="D20" s="28" t="s">
        <v>108</v>
      </c>
      <c r="E20" s="28" t="s">
        <v>216</v>
      </c>
      <c r="F20" s="37">
        <v>45988</v>
      </c>
      <c r="G20" s="38">
        <v>120</v>
      </c>
      <c r="H20" s="28" t="s">
        <v>40</v>
      </c>
      <c r="I20" s="28">
        <v>2</v>
      </c>
      <c r="J20" s="39" t="s">
        <v>110</v>
      </c>
      <c r="K20" s="43">
        <v>40</v>
      </c>
      <c r="L20" s="28" t="s">
        <v>38</v>
      </c>
      <c r="M20" s="41">
        <f t="shared" si="0"/>
        <v>19500</v>
      </c>
      <c r="N20" s="42">
        <v>780000</v>
      </c>
      <c r="O20" s="43"/>
      <c r="P20" s="57">
        <f>RawDataGenPO[[#This Row],[Total price]]*30/100</f>
        <v>234000</v>
      </c>
      <c r="Q20" s="57">
        <v>163800</v>
      </c>
      <c r="R20" s="57">
        <v>382200</v>
      </c>
      <c r="S20" s="57"/>
      <c r="T20" s="57"/>
      <c r="U20" s="57">
        <f>RawDataGenPO[[#This Row],[Total price]]-RawDataGenPO[[#This Row],[Column1]]-RawDataGenPO[[#This Row],[Column14]]-RawDataGenPO[[#This Row],[Column13]]-RawDataGenPO[[#This Row],[Column12]]</f>
        <v>0</v>
      </c>
      <c r="V20" s="33" t="s">
        <v>215</v>
      </c>
      <c r="W20" s="44" t="s">
        <v>8</v>
      </c>
      <c r="X20" s="62" t="s">
        <v>491</v>
      </c>
      <c r="Y20" s="35">
        <v>46008</v>
      </c>
      <c r="Z20" s="45"/>
      <c r="AA20" s="46">
        <f>IF(RawDataGenPO[[#This Row],[Date Gen PO]]="","",RawDataGenPO[[#This Row],[Date recive bill]]-RawDataGenPO[[#This Row],[Date Gen PO]])</f>
        <v>20</v>
      </c>
      <c r="AB20" s="47" t="str">
        <f>IF(RawDataGenPO[[#This Row],[GRN-PO date]]&gt;RawDataGenPO[[#This Row],[Lead time delivery (day)]],"over deliverry","Ontime")</f>
        <v>Ontime</v>
      </c>
      <c r="AC20" s="56" t="s">
        <v>219</v>
      </c>
      <c r="AD20" s="48"/>
    </row>
    <row r="21" spans="1:30" ht="28.5" x14ac:dyDescent="0.3">
      <c r="A21" s="28">
        <f>ROW()-ROW(RawDataGenPO[[#Headers],[No.]])</f>
        <v>20</v>
      </c>
      <c r="B21" s="33" t="s">
        <v>14</v>
      </c>
      <c r="C21" s="30">
        <v>45972</v>
      </c>
      <c r="D21" s="28" t="s">
        <v>108</v>
      </c>
      <c r="E21" s="28" t="s">
        <v>216</v>
      </c>
      <c r="F21" s="37">
        <v>45988</v>
      </c>
      <c r="G21" s="38">
        <v>120</v>
      </c>
      <c r="H21" s="28" t="s">
        <v>40</v>
      </c>
      <c r="I21" s="28">
        <v>3</v>
      </c>
      <c r="J21" s="39" t="s">
        <v>111</v>
      </c>
      <c r="K21" s="43">
        <v>18</v>
      </c>
      <c r="L21" s="28" t="s">
        <v>38</v>
      </c>
      <c r="M21" s="41">
        <f t="shared" si="0"/>
        <v>14500</v>
      </c>
      <c r="N21" s="42">
        <v>261000</v>
      </c>
      <c r="O21" s="43"/>
      <c r="P21" s="75">
        <f>RawDataGenPO[[#This Row],[Total price]]*30/100</f>
        <v>78300</v>
      </c>
      <c r="Q21" s="75">
        <v>91350</v>
      </c>
      <c r="R21" s="75">
        <v>91350</v>
      </c>
      <c r="S21" s="75"/>
      <c r="T21" s="75"/>
      <c r="U21" s="75">
        <f>RawDataGenPO[[#This Row],[Total price]]-RawDataGenPO[[#This Row],[Column1]]-RawDataGenPO[[#This Row],[Column14]]-RawDataGenPO[[#This Row],[Column13]]-RawDataGenPO[[#This Row],[Column12]]</f>
        <v>0</v>
      </c>
      <c r="V21" s="33" t="s">
        <v>215</v>
      </c>
      <c r="W21" s="44" t="s">
        <v>8</v>
      </c>
      <c r="X21" s="62" t="s">
        <v>435</v>
      </c>
      <c r="Y21" s="35">
        <v>46008</v>
      </c>
      <c r="Z21" s="45"/>
      <c r="AA21" s="46">
        <f>IF(RawDataGenPO[[#This Row],[Date Gen PO]]="","",RawDataGenPO[[#This Row],[Date recive bill]]-RawDataGenPO[[#This Row],[Date Gen PO]])</f>
        <v>20</v>
      </c>
      <c r="AB21" s="47" t="str">
        <f>IF(RawDataGenPO[[#This Row],[GRN-PO date]]&gt;RawDataGenPO[[#This Row],[Lead time delivery (day)]],"over deliverry","Ontime")</f>
        <v>Ontime</v>
      </c>
      <c r="AC21" s="56" t="s">
        <v>219</v>
      </c>
      <c r="AD21" s="48"/>
    </row>
    <row r="22" spans="1:30" ht="28.5" x14ac:dyDescent="0.3">
      <c r="A22" s="28">
        <f>ROW()-ROW(RawDataGenPO[[#Headers],[No.]])</f>
        <v>21</v>
      </c>
      <c r="B22" s="33" t="s">
        <v>14</v>
      </c>
      <c r="C22" s="30">
        <v>45972</v>
      </c>
      <c r="D22" s="28" t="s">
        <v>108</v>
      </c>
      <c r="E22" s="28" t="s">
        <v>216</v>
      </c>
      <c r="F22" s="37">
        <v>45988</v>
      </c>
      <c r="G22" s="38">
        <v>120</v>
      </c>
      <c r="H22" s="28" t="s">
        <v>40</v>
      </c>
      <c r="I22" s="28">
        <v>4</v>
      </c>
      <c r="J22" s="39" t="s">
        <v>112</v>
      </c>
      <c r="K22" s="43">
        <v>74</v>
      </c>
      <c r="L22" s="28" t="s">
        <v>38</v>
      </c>
      <c r="M22" s="41">
        <f t="shared" si="0"/>
        <v>9750</v>
      </c>
      <c r="N22" s="42">
        <v>721500</v>
      </c>
      <c r="O22" s="43"/>
      <c r="P22" s="75">
        <f>RawDataGenPO[[#This Row],[Total price]]*30/100</f>
        <v>216450</v>
      </c>
      <c r="Q22" s="75">
        <v>163800</v>
      </c>
      <c r="R22" s="75">
        <v>341250</v>
      </c>
      <c r="S22" s="75"/>
      <c r="T22" s="75"/>
      <c r="U22" s="75">
        <f>RawDataGenPO[[#This Row],[Total price]]-RawDataGenPO[[#This Row],[Column1]]-RawDataGenPO[[#This Row],[Column14]]-RawDataGenPO[[#This Row],[Column13]]-RawDataGenPO[[#This Row],[Column12]]</f>
        <v>0</v>
      </c>
      <c r="V22" s="33" t="s">
        <v>215</v>
      </c>
      <c r="W22" s="44" t="s">
        <v>8</v>
      </c>
      <c r="X22" s="62" t="s">
        <v>464</v>
      </c>
      <c r="Y22" s="35">
        <v>46008</v>
      </c>
      <c r="Z22" s="45"/>
      <c r="AA22" s="46">
        <f>IF(RawDataGenPO[[#This Row],[Date Gen PO]]="","",RawDataGenPO[[#This Row],[Date recive bill]]-RawDataGenPO[[#This Row],[Date Gen PO]])</f>
        <v>20</v>
      </c>
      <c r="AB22" s="47" t="str">
        <f>IF(RawDataGenPO[[#This Row],[GRN-PO date]]&gt;RawDataGenPO[[#This Row],[Lead time delivery (day)]],"over deliverry","Ontime")</f>
        <v>Ontime</v>
      </c>
      <c r="AC22" s="56" t="s">
        <v>219</v>
      </c>
      <c r="AD22" s="48"/>
    </row>
    <row r="23" spans="1:30" ht="28.5" x14ac:dyDescent="0.3">
      <c r="A23" s="28">
        <f>ROW()-ROW(RawDataGenPO[[#Headers],[No.]])</f>
        <v>22</v>
      </c>
      <c r="B23" s="33" t="s">
        <v>14</v>
      </c>
      <c r="C23" s="30">
        <v>45972</v>
      </c>
      <c r="D23" s="28" t="s">
        <v>108</v>
      </c>
      <c r="E23" s="28" t="s">
        <v>216</v>
      </c>
      <c r="F23" s="37">
        <v>45988</v>
      </c>
      <c r="G23" s="38">
        <v>120</v>
      </c>
      <c r="H23" s="28" t="s">
        <v>40</v>
      </c>
      <c r="I23" s="28">
        <v>5</v>
      </c>
      <c r="J23" s="39" t="s">
        <v>113</v>
      </c>
      <c r="K23" s="43">
        <v>72</v>
      </c>
      <c r="L23" s="28" t="s">
        <v>38</v>
      </c>
      <c r="M23" s="41">
        <f t="shared" si="0"/>
        <v>6350</v>
      </c>
      <c r="N23" s="42">
        <v>457200</v>
      </c>
      <c r="O23" s="43"/>
      <c r="P23" s="75">
        <f>RawDataGenPO[[#This Row],[Total price]]*30/100</f>
        <v>137160</v>
      </c>
      <c r="Q23" s="75">
        <v>133350</v>
      </c>
      <c r="R23" s="75">
        <v>186690</v>
      </c>
      <c r="S23" s="75"/>
      <c r="T23" s="75"/>
      <c r="U23" s="75">
        <f>RawDataGenPO[[#This Row],[Total price]]-RawDataGenPO[[#This Row],[Column1]]-RawDataGenPO[[#This Row],[Column14]]-RawDataGenPO[[#This Row],[Column13]]-RawDataGenPO[[#This Row],[Column12]]</f>
        <v>0</v>
      </c>
      <c r="V23" s="33" t="s">
        <v>215</v>
      </c>
      <c r="W23" s="44" t="s">
        <v>8</v>
      </c>
      <c r="X23" s="63" t="s">
        <v>434</v>
      </c>
      <c r="Y23" s="35">
        <v>46008</v>
      </c>
      <c r="Z23" s="45"/>
      <c r="AA23" s="46">
        <f>IF(RawDataGenPO[[#This Row],[Date Gen PO]]="","",RawDataGenPO[[#This Row],[Date recive bill]]-RawDataGenPO[[#This Row],[Date Gen PO]])</f>
        <v>20</v>
      </c>
      <c r="AB23" s="47" t="str">
        <f>IF(RawDataGenPO[[#This Row],[GRN-PO date]]&gt;RawDataGenPO[[#This Row],[Lead time delivery (day)]],"over deliverry","Ontime")</f>
        <v>Ontime</v>
      </c>
      <c r="AC23" s="56" t="s">
        <v>219</v>
      </c>
      <c r="AD23" s="48"/>
    </row>
    <row r="24" spans="1:30" ht="14.25" x14ac:dyDescent="0.3">
      <c r="A24" s="28">
        <f>ROW()-ROW(RawDataGenPO[[#Headers],[No.]])</f>
        <v>23</v>
      </c>
      <c r="B24" s="33" t="s">
        <v>14</v>
      </c>
      <c r="C24" s="30">
        <v>45972</v>
      </c>
      <c r="D24" s="28" t="s">
        <v>108</v>
      </c>
      <c r="E24" s="28" t="s">
        <v>216</v>
      </c>
      <c r="F24" s="37">
        <v>45988</v>
      </c>
      <c r="G24" s="38">
        <v>120</v>
      </c>
      <c r="H24" s="28" t="s">
        <v>40</v>
      </c>
      <c r="I24" s="28">
        <v>6</v>
      </c>
      <c r="J24" s="39" t="s">
        <v>114</v>
      </c>
      <c r="K24" s="43">
        <v>21</v>
      </c>
      <c r="L24" s="28" t="s">
        <v>38</v>
      </c>
      <c r="M24" s="41">
        <f t="shared" si="0"/>
        <v>5850</v>
      </c>
      <c r="N24" s="42">
        <v>122850</v>
      </c>
      <c r="O24" s="43"/>
      <c r="P24" s="75">
        <f>RawDataGenPO[[#This Row],[Total price]]*30/100</f>
        <v>36855</v>
      </c>
      <c r="Q24" s="75">
        <v>85995</v>
      </c>
      <c r="R24" s="75"/>
      <c r="S24" s="75"/>
      <c r="T24" s="75"/>
      <c r="U24" s="75">
        <f>RawDataGenPO[[#This Row],[Total price]]-RawDataGenPO[[#This Row],[Column1]]-RawDataGenPO[[#This Row],[Column14]]-RawDataGenPO[[#This Row],[Column13]]-RawDataGenPO[[#This Row],[Column12]]</f>
        <v>0</v>
      </c>
      <c r="V24" s="33" t="s">
        <v>215</v>
      </c>
      <c r="W24" s="44" t="s">
        <v>8</v>
      </c>
      <c r="X24" s="60" t="s">
        <v>436</v>
      </c>
      <c r="Y24" s="35">
        <v>46008</v>
      </c>
      <c r="Z24" s="45"/>
      <c r="AA24" s="46">
        <f>IF(RawDataGenPO[[#This Row],[Date Gen PO]]="","",RawDataGenPO[[#This Row],[Date recive bill]]-RawDataGenPO[[#This Row],[Date Gen PO]])</f>
        <v>20</v>
      </c>
      <c r="AB24" s="47" t="str">
        <f>IF(RawDataGenPO[[#This Row],[GRN-PO date]]&gt;RawDataGenPO[[#This Row],[Lead time delivery (day)]],"over deliverry","Ontime")</f>
        <v>Ontime</v>
      </c>
      <c r="AC24" s="56" t="s">
        <v>219</v>
      </c>
      <c r="AD24" s="48"/>
    </row>
    <row r="25" spans="1:30" ht="14.25" x14ac:dyDescent="0.3">
      <c r="A25" s="28">
        <f>ROW()-ROW(RawDataGenPO[[#Headers],[No.]])</f>
        <v>24</v>
      </c>
      <c r="B25" s="33" t="s">
        <v>14</v>
      </c>
      <c r="C25" s="30">
        <v>45972</v>
      </c>
      <c r="D25" s="28" t="s">
        <v>108</v>
      </c>
      <c r="E25" s="28" t="s">
        <v>216</v>
      </c>
      <c r="F25" s="37">
        <v>45988</v>
      </c>
      <c r="G25" s="38">
        <v>120</v>
      </c>
      <c r="H25" s="28" t="s">
        <v>40</v>
      </c>
      <c r="I25" s="28">
        <v>7</v>
      </c>
      <c r="J25" s="39" t="s">
        <v>115</v>
      </c>
      <c r="K25" s="43">
        <v>2</v>
      </c>
      <c r="L25" s="28" t="s">
        <v>38</v>
      </c>
      <c r="M25" s="41">
        <f t="shared" si="0"/>
        <v>35500</v>
      </c>
      <c r="N25" s="42">
        <v>71000</v>
      </c>
      <c r="O25" s="43"/>
      <c r="P25" s="75">
        <f>RawDataGenPO[[#This Row],[Total price]]*30/100</f>
        <v>21300</v>
      </c>
      <c r="Q25" s="75">
        <v>49700</v>
      </c>
      <c r="R25" s="75"/>
      <c r="S25" s="75"/>
      <c r="T25" s="75"/>
      <c r="U25" s="75">
        <f>RawDataGenPO[[#This Row],[Total price]]-RawDataGenPO[[#This Row],[Column1]]-RawDataGenPO[[#This Row],[Column14]]-RawDataGenPO[[#This Row],[Column13]]-RawDataGenPO[[#This Row],[Column12]]</f>
        <v>0</v>
      </c>
      <c r="V25" s="33" t="s">
        <v>215</v>
      </c>
      <c r="W25" s="44" t="s">
        <v>8</v>
      </c>
      <c r="X25" s="62" t="s">
        <v>432</v>
      </c>
      <c r="Y25" s="35">
        <v>46008</v>
      </c>
      <c r="Z25" s="45"/>
      <c r="AA25" s="46">
        <f>IF(RawDataGenPO[[#This Row],[Date Gen PO]]="","",RawDataGenPO[[#This Row],[Date recive bill]]-RawDataGenPO[[#This Row],[Date Gen PO]])</f>
        <v>20</v>
      </c>
      <c r="AB25" s="47" t="str">
        <f>IF(RawDataGenPO[[#This Row],[GRN-PO date]]&gt;RawDataGenPO[[#This Row],[Lead time delivery (day)]],"over deliverry","Ontime")</f>
        <v>Ontime</v>
      </c>
      <c r="AC25" s="56" t="s">
        <v>219</v>
      </c>
      <c r="AD25" s="48"/>
    </row>
    <row r="26" spans="1:30" ht="14.25" x14ac:dyDescent="0.3">
      <c r="A26" s="28">
        <f>ROW()-ROW(RawDataGenPO[[#Headers],[No.]])</f>
        <v>25</v>
      </c>
      <c r="B26" s="33" t="s">
        <v>95</v>
      </c>
      <c r="C26" s="30">
        <v>45972</v>
      </c>
      <c r="D26" s="30" t="s">
        <v>116</v>
      </c>
      <c r="E26" s="28" t="s">
        <v>119</v>
      </c>
      <c r="F26" s="37">
        <v>45974</v>
      </c>
      <c r="G26" s="38">
        <v>60</v>
      </c>
      <c r="H26" s="28" t="s">
        <v>117</v>
      </c>
      <c r="I26" s="28">
        <v>1</v>
      </c>
      <c r="J26" s="39" t="s">
        <v>118</v>
      </c>
      <c r="K26" s="43">
        <v>7773</v>
      </c>
      <c r="L26" s="28" t="s">
        <v>39</v>
      </c>
      <c r="M26" s="41">
        <f t="shared" si="0"/>
        <v>22.11</v>
      </c>
      <c r="N26" s="42">
        <v>171861.03</v>
      </c>
      <c r="O26" s="43"/>
      <c r="P26" s="59">
        <v>171861.03</v>
      </c>
      <c r="Q26" s="59"/>
      <c r="R26" s="59"/>
      <c r="S26" s="59"/>
      <c r="T26" s="59"/>
      <c r="U26" s="59">
        <f>RawDataGenPO[[#This Row],[Total price]]-RawDataGenPO[[#This Row],[Column1]]-RawDataGenPO[[#This Row],[Column14]]-RawDataGenPO[[#This Row],[Column13]]-RawDataGenPO[[#This Row],[Column12]]</f>
        <v>0</v>
      </c>
      <c r="V26" s="33" t="s">
        <v>120</v>
      </c>
      <c r="W26" s="44" t="s">
        <v>8</v>
      </c>
      <c r="X26" s="28" t="s">
        <v>142</v>
      </c>
      <c r="Y26" s="35">
        <v>45980</v>
      </c>
      <c r="Z26" s="45"/>
      <c r="AA26" s="46">
        <f>IF(RawDataGenPO[[#This Row],[Date Gen PO]]="","",RawDataGenPO[[#This Row],[Date recive bill]]-RawDataGenPO[[#This Row],[Date Gen PO]])</f>
        <v>6</v>
      </c>
      <c r="AB26" s="47" t="str">
        <f>IF(RawDataGenPO[[#This Row],[GRN-PO date]]&gt;RawDataGenPO[[#This Row],[Lead time delivery (day)]],"over deliverry","Ontime")</f>
        <v>Ontime</v>
      </c>
      <c r="AC26" s="56" t="s">
        <v>223</v>
      </c>
      <c r="AD26" s="48"/>
    </row>
    <row r="27" spans="1:30" ht="142.5" x14ac:dyDescent="0.3">
      <c r="A27" s="28">
        <f>ROW()-ROW(RawDataGenPO[[#Headers],[No.]])</f>
        <v>26</v>
      </c>
      <c r="B27" s="33" t="s">
        <v>95</v>
      </c>
      <c r="C27" s="30">
        <v>45976</v>
      </c>
      <c r="D27" s="28" t="s">
        <v>121</v>
      </c>
      <c r="E27" s="28" t="s">
        <v>143</v>
      </c>
      <c r="F27" s="37">
        <v>45985</v>
      </c>
      <c r="G27" s="38">
        <v>120</v>
      </c>
      <c r="H27" s="28" t="s">
        <v>44</v>
      </c>
      <c r="I27" s="28">
        <v>1</v>
      </c>
      <c r="J27" s="39" t="s">
        <v>122</v>
      </c>
      <c r="K27" s="43">
        <v>1</v>
      </c>
      <c r="L27" s="28" t="s">
        <v>41</v>
      </c>
      <c r="M27" s="41">
        <f t="shared" si="0"/>
        <v>1150000</v>
      </c>
      <c r="N27" s="42">
        <v>1150000</v>
      </c>
      <c r="O27" s="43"/>
      <c r="P27" s="75">
        <f>RawDataGenPO[[#This Row],[Total price]]*30/100</f>
        <v>345000</v>
      </c>
      <c r="Q27" s="75">
        <v>345000</v>
      </c>
      <c r="R27" s="75">
        <v>230000</v>
      </c>
      <c r="S27" s="75">
        <v>115000</v>
      </c>
      <c r="T27" s="75"/>
      <c r="U27" s="75">
        <f>RawDataGenPO[[#This Row],[Total price]]-RawDataGenPO[[#This Row],[Column1]]-RawDataGenPO[[#This Row],[Column14]]-RawDataGenPO[[#This Row],[Column13]]-RawDataGenPO[[#This Row],[Column12]]</f>
        <v>115000</v>
      </c>
      <c r="V27" s="33" t="s">
        <v>144</v>
      </c>
      <c r="W27" s="44" t="s">
        <v>8</v>
      </c>
      <c r="X27" s="31" t="s">
        <v>566</v>
      </c>
      <c r="Y27" s="35">
        <v>46007</v>
      </c>
      <c r="Z27" s="45"/>
      <c r="AA27" s="46">
        <f>IF(RawDataGenPO[[#This Row],[Date Gen PO]]="","",RawDataGenPO[[#This Row],[Date recive bill]]-RawDataGenPO[[#This Row],[Date Gen PO]])</f>
        <v>22</v>
      </c>
      <c r="AB27" s="47" t="str">
        <f>IF(RawDataGenPO[[#This Row],[GRN-PO date]]&gt;RawDataGenPO[[#This Row],[Lead time delivery (day)]],"over deliverry","Ontime")</f>
        <v>Ontime</v>
      </c>
      <c r="AC27" s="56" t="s">
        <v>221</v>
      </c>
      <c r="AD27" s="48"/>
    </row>
    <row r="28" spans="1:30" ht="14.25" x14ac:dyDescent="0.3">
      <c r="A28" s="28">
        <f>ROW()-ROW(RawDataGenPO[[#Headers],[No.]])</f>
        <v>27</v>
      </c>
      <c r="B28" s="33" t="s">
        <v>95</v>
      </c>
      <c r="C28" s="30">
        <v>45978</v>
      </c>
      <c r="D28" s="28" t="s">
        <v>124</v>
      </c>
      <c r="E28" s="28" t="s">
        <v>145</v>
      </c>
      <c r="F28" s="37">
        <v>45979</v>
      </c>
      <c r="G28" s="38">
        <v>30</v>
      </c>
      <c r="H28" s="28" t="s">
        <v>37</v>
      </c>
      <c r="I28" s="28">
        <v>1</v>
      </c>
      <c r="J28" s="39" t="s">
        <v>125</v>
      </c>
      <c r="K28" s="43">
        <v>5</v>
      </c>
      <c r="L28" s="28" t="s">
        <v>135</v>
      </c>
      <c r="M28" s="41">
        <f t="shared" si="0"/>
        <v>620</v>
      </c>
      <c r="N28" s="42">
        <v>3100</v>
      </c>
      <c r="O28" s="43"/>
      <c r="P28" s="59">
        <v>3100</v>
      </c>
      <c r="Q28" s="59"/>
      <c r="R28" s="59"/>
      <c r="S28" s="59"/>
      <c r="T28" s="59"/>
      <c r="U28" s="59">
        <f>RawDataGenPO[[#This Row],[Total price]]-RawDataGenPO[[#This Row],[Column1]]-RawDataGenPO[[#This Row],[Column14]]-RawDataGenPO[[#This Row],[Column13]]-RawDataGenPO[[#This Row],[Column12]]</f>
        <v>0</v>
      </c>
      <c r="V28" s="33" t="s">
        <v>92</v>
      </c>
      <c r="W28" s="44" t="s">
        <v>8</v>
      </c>
      <c r="X28" s="28" t="s">
        <v>152</v>
      </c>
      <c r="Y28" s="35">
        <v>45982</v>
      </c>
      <c r="Z28" s="45"/>
      <c r="AA28" s="46">
        <f>IF(RawDataGenPO[[#This Row],[Date Gen PO]]="","",RawDataGenPO[[#This Row],[Date recive bill]]-RawDataGenPO[[#This Row],[Date Gen PO]])</f>
        <v>3</v>
      </c>
      <c r="AB28" s="47" t="str">
        <f>IF(RawDataGenPO[[#This Row],[GRN-PO date]]&gt;RawDataGenPO[[#This Row],[Lead time delivery (day)]],"over deliverry","Ontime")</f>
        <v>Ontime</v>
      </c>
      <c r="AC28" s="56" t="s">
        <v>221</v>
      </c>
      <c r="AD28" s="48"/>
    </row>
    <row r="29" spans="1:30" ht="14.25" x14ac:dyDescent="0.3">
      <c r="A29" s="28">
        <f>ROW()-ROW(RawDataGenPO[[#Headers],[No.]])</f>
        <v>28</v>
      </c>
      <c r="B29" s="33" t="s">
        <v>95</v>
      </c>
      <c r="C29" s="30">
        <v>45978</v>
      </c>
      <c r="D29" s="28" t="s">
        <v>124</v>
      </c>
      <c r="E29" s="28" t="s">
        <v>145</v>
      </c>
      <c r="F29" s="37">
        <v>45979</v>
      </c>
      <c r="G29" s="38">
        <v>30</v>
      </c>
      <c r="H29" s="28" t="s">
        <v>37</v>
      </c>
      <c r="I29" s="28">
        <v>2</v>
      </c>
      <c r="J29" s="39" t="s">
        <v>126</v>
      </c>
      <c r="K29" s="43">
        <v>10</v>
      </c>
      <c r="L29" s="28" t="s">
        <v>135</v>
      </c>
      <c r="M29" s="41">
        <f t="shared" si="0"/>
        <v>675</v>
      </c>
      <c r="N29" s="42">
        <v>6750</v>
      </c>
      <c r="O29" s="43"/>
      <c r="P29" s="59">
        <v>6750</v>
      </c>
      <c r="Q29" s="59"/>
      <c r="R29" s="59"/>
      <c r="S29" s="59"/>
      <c r="T29" s="59"/>
      <c r="U29" s="59">
        <f>RawDataGenPO[[#This Row],[Total price]]-RawDataGenPO[[#This Row],[Column1]]-RawDataGenPO[[#This Row],[Column14]]-RawDataGenPO[[#This Row],[Column13]]-RawDataGenPO[[#This Row],[Column12]]</f>
        <v>0</v>
      </c>
      <c r="V29" s="33" t="s">
        <v>92</v>
      </c>
      <c r="W29" s="44" t="s">
        <v>8</v>
      </c>
      <c r="X29" s="28" t="s">
        <v>152</v>
      </c>
      <c r="Y29" s="35">
        <v>45982</v>
      </c>
      <c r="Z29" s="45"/>
      <c r="AA29" s="46">
        <f>IF(RawDataGenPO[[#This Row],[Date Gen PO]]="","",RawDataGenPO[[#This Row],[Date recive bill]]-RawDataGenPO[[#This Row],[Date Gen PO]])</f>
        <v>3</v>
      </c>
      <c r="AB29" s="47" t="str">
        <f>IF(RawDataGenPO[[#This Row],[GRN-PO date]]&gt;RawDataGenPO[[#This Row],[Lead time delivery (day)]],"over deliverry","Ontime")</f>
        <v>Ontime</v>
      </c>
      <c r="AC29" s="56" t="s">
        <v>221</v>
      </c>
      <c r="AD29" s="48"/>
    </row>
    <row r="30" spans="1:30" ht="14.25" x14ac:dyDescent="0.3">
      <c r="A30" s="28">
        <f>ROW()-ROW(RawDataGenPO[[#Headers],[No.]])</f>
        <v>29</v>
      </c>
      <c r="B30" s="33" t="s">
        <v>95</v>
      </c>
      <c r="C30" s="30">
        <v>45978</v>
      </c>
      <c r="D30" s="28" t="s">
        <v>124</v>
      </c>
      <c r="E30" s="28" t="s">
        <v>145</v>
      </c>
      <c r="F30" s="37">
        <v>45979</v>
      </c>
      <c r="G30" s="38">
        <v>30</v>
      </c>
      <c r="H30" s="28" t="s">
        <v>37</v>
      </c>
      <c r="I30" s="28">
        <v>3</v>
      </c>
      <c r="J30" s="39" t="s">
        <v>127</v>
      </c>
      <c r="K30" s="43">
        <v>12</v>
      </c>
      <c r="L30" s="28" t="s">
        <v>135</v>
      </c>
      <c r="M30" s="41">
        <f t="shared" si="0"/>
        <v>2275</v>
      </c>
      <c r="N30" s="42">
        <v>27300</v>
      </c>
      <c r="O30" s="43"/>
      <c r="P30" s="59">
        <v>27300</v>
      </c>
      <c r="Q30" s="59"/>
      <c r="R30" s="59"/>
      <c r="S30" s="59"/>
      <c r="T30" s="59"/>
      <c r="U30" s="59">
        <f>RawDataGenPO[[#This Row],[Total price]]-RawDataGenPO[[#This Row],[Column1]]-RawDataGenPO[[#This Row],[Column14]]-RawDataGenPO[[#This Row],[Column13]]-RawDataGenPO[[#This Row],[Column12]]</f>
        <v>0</v>
      </c>
      <c r="V30" s="33" t="s">
        <v>92</v>
      </c>
      <c r="W30" s="44" t="s">
        <v>8</v>
      </c>
      <c r="X30" s="28" t="s">
        <v>152</v>
      </c>
      <c r="Y30" s="35">
        <v>45982</v>
      </c>
      <c r="Z30" s="45"/>
      <c r="AA30" s="46">
        <f>IF(RawDataGenPO[[#This Row],[Date Gen PO]]="","",RawDataGenPO[[#This Row],[Date recive bill]]-RawDataGenPO[[#This Row],[Date Gen PO]])</f>
        <v>3</v>
      </c>
      <c r="AB30" s="47" t="str">
        <f>IF(RawDataGenPO[[#This Row],[GRN-PO date]]&gt;RawDataGenPO[[#This Row],[Lead time delivery (day)]],"over deliverry","Ontime")</f>
        <v>Ontime</v>
      </c>
      <c r="AC30" s="56" t="s">
        <v>221</v>
      </c>
      <c r="AD30" s="48"/>
    </row>
    <row r="31" spans="1:30" ht="14.25" x14ac:dyDescent="0.3">
      <c r="A31" s="28">
        <f>ROW()-ROW(RawDataGenPO[[#Headers],[No.]])</f>
        <v>30</v>
      </c>
      <c r="B31" s="33" t="s">
        <v>95</v>
      </c>
      <c r="C31" s="30">
        <v>45978</v>
      </c>
      <c r="D31" s="28" t="s">
        <v>124</v>
      </c>
      <c r="E31" s="28" t="s">
        <v>145</v>
      </c>
      <c r="F31" s="37">
        <v>45979</v>
      </c>
      <c r="G31" s="38">
        <v>30</v>
      </c>
      <c r="H31" s="28" t="s">
        <v>37</v>
      </c>
      <c r="I31" s="28">
        <v>4</v>
      </c>
      <c r="J31" s="39" t="s">
        <v>128</v>
      </c>
      <c r="K31" s="43">
        <v>12</v>
      </c>
      <c r="L31" s="28" t="s">
        <v>135</v>
      </c>
      <c r="M31" s="41">
        <f t="shared" si="0"/>
        <v>3450</v>
      </c>
      <c r="N31" s="42">
        <v>41400</v>
      </c>
      <c r="O31" s="43"/>
      <c r="P31" s="59">
        <v>41400</v>
      </c>
      <c r="Q31" s="59"/>
      <c r="R31" s="59"/>
      <c r="S31" s="59"/>
      <c r="T31" s="59"/>
      <c r="U31" s="59">
        <f>RawDataGenPO[[#This Row],[Total price]]-RawDataGenPO[[#This Row],[Column1]]-RawDataGenPO[[#This Row],[Column14]]-RawDataGenPO[[#This Row],[Column13]]-RawDataGenPO[[#This Row],[Column12]]</f>
        <v>0</v>
      </c>
      <c r="V31" s="33" t="s">
        <v>92</v>
      </c>
      <c r="W31" s="44" t="s">
        <v>8</v>
      </c>
      <c r="X31" s="28" t="s">
        <v>152</v>
      </c>
      <c r="Y31" s="35">
        <v>45982</v>
      </c>
      <c r="Z31" s="45"/>
      <c r="AA31" s="46">
        <f>IF(RawDataGenPO[[#This Row],[Date Gen PO]]="","",RawDataGenPO[[#This Row],[Date recive bill]]-RawDataGenPO[[#This Row],[Date Gen PO]])</f>
        <v>3</v>
      </c>
      <c r="AB31" s="47" t="str">
        <f>IF(RawDataGenPO[[#This Row],[GRN-PO date]]&gt;RawDataGenPO[[#This Row],[Lead time delivery (day)]],"over deliverry","Ontime")</f>
        <v>Ontime</v>
      </c>
      <c r="AC31" s="56" t="s">
        <v>221</v>
      </c>
      <c r="AD31" s="48"/>
    </row>
    <row r="32" spans="1:30" ht="14.25" x14ac:dyDescent="0.3">
      <c r="A32" s="28">
        <f>ROW()-ROW(RawDataGenPO[[#Headers],[No.]])</f>
        <v>31</v>
      </c>
      <c r="B32" s="33" t="s">
        <v>95</v>
      </c>
      <c r="C32" s="30">
        <v>45978</v>
      </c>
      <c r="D32" s="28" t="s">
        <v>124</v>
      </c>
      <c r="E32" s="28" t="s">
        <v>145</v>
      </c>
      <c r="F32" s="37">
        <v>45979</v>
      </c>
      <c r="G32" s="38">
        <v>30</v>
      </c>
      <c r="H32" s="28" t="s">
        <v>37</v>
      </c>
      <c r="I32" s="28">
        <v>5</v>
      </c>
      <c r="J32" s="39" t="s">
        <v>129</v>
      </c>
      <c r="K32" s="43">
        <v>5</v>
      </c>
      <c r="L32" s="28" t="s">
        <v>135</v>
      </c>
      <c r="M32" s="41">
        <f t="shared" si="0"/>
        <v>2375</v>
      </c>
      <c r="N32" s="42">
        <v>11875</v>
      </c>
      <c r="O32" s="43"/>
      <c r="P32" s="59">
        <v>11875</v>
      </c>
      <c r="Q32" s="59"/>
      <c r="R32" s="59"/>
      <c r="S32" s="59"/>
      <c r="T32" s="59"/>
      <c r="U32" s="59">
        <f>RawDataGenPO[[#This Row],[Total price]]-RawDataGenPO[[#This Row],[Column1]]-RawDataGenPO[[#This Row],[Column14]]-RawDataGenPO[[#This Row],[Column13]]-RawDataGenPO[[#This Row],[Column12]]</f>
        <v>0</v>
      </c>
      <c r="V32" s="33" t="s">
        <v>92</v>
      </c>
      <c r="W32" s="44" t="s">
        <v>8</v>
      </c>
      <c r="X32" s="28" t="s">
        <v>152</v>
      </c>
      <c r="Y32" s="35">
        <v>45982</v>
      </c>
      <c r="Z32" s="45"/>
      <c r="AA32" s="46">
        <f>IF(RawDataGenPO[[#This Row],[Date Gen PO]]="","",RawDataGenPO[[#This Row],[Date recive bill]]-RawDataGenPO[[#This Row],[Date Gen PO]])</f>
        <v>3</v>
      </c>
      <c r="AB32" s="47" t="str">
        <f>IF(RawDataGenPO[[#This Row],[GRN-PO date]]&gt;RawDataGenPO[[#This Row],[Lead time delivery (day)]],"over deliverry","Ontime")</f>
        <v>Ontime</v>
      </c>
      <c r="AC32" s="56" t="s">
        <v>221</v>
      </c>
      <c r="AD32" s="48"/>
    </row>
    <row r="33" spans="1:30" ht="14.25" x14ac:dyDescent="0.3">
      <c r="A33" s="28">
        <f>ROW()-ROW(RawDataGenPO[[#Headers],[No.]])</f>
        <v>32</v>
      </c>
      <c r="B33" s="33" t="s">
        <v>95</v>
      </c>
      <c r="C33" s="30">
        <v>45978</v>
      </c>
      <c r="D33" s="28" t="s">
        <v>124</v>
      </c>
      <c r="E33" s="28" t="s">
        <v>145</v>
      </c>
      <c r="F33" s="37">
        <v>45979</v>
      </c>
      <c r="G33" s="38">
        <v>30</v>
      </c>
      <c r="H33" s="28" t="s">
        <v>37</v>
      </c>
      <c r="I33" s="28">
        <v>6</v>
      </c>
      <c r="J33" s="39" t="s">
        <v>130</v>
      </c>
      <c r="K33" s="43">
        <v>6</v>
      </c>
      <c r="L33" s="28" t="s">
        <v>135</v>
      </c>
      <c r="M33" s="41">
        <f t="shared" si="0"/>
        <v>2850</v>
      </c>
      <c r="N33" s="42">
        <v>17100</v>
      </c>
      <c r="O33" s="43"/>
      <c r="P33" s="59">
        <v>17100</v>
      </c>
      <c r="Q33" s="59"/>
      <c r="R33" s="59"/>
      <c r="S33" s="59"/>
      <c r="T33" s="59"/>
      <c r="U33" s="59">
        <f>RawDataGenPO[[#This Row],[Total price]]-RawDataGenPO[[#This Row],[Column1]]-RawDataGenPO[[#This Row],[Column14]]-RawDataGenPO[[#This Row],[Column13]]-RawDataGenPO[[#This Row],[Column12]]</f>
        <v>0</v>
      </c>
      <c r="V33" s="33" t="s">
        <v>92</v>
      </c>
      <c r="W33" s="44" t="s">
        <v>8</v>
      </c>
      <c r="X33" s="28" t="s">
        <v>152</v>
      </c>
      <c r="Y33" s="35">
        <v>45982</v>
      </c>
      <c r="Z33" s="45"/>
      <c r="AA33" s="46">
        <f>IF(RawDataGenPO[[#This Row],[Date Gen PO]]="","",RawDataGenPO[[#This Row],[Date recive bill]]-RawDataGenPO[[#This Row],[Date Gen PO]])</f>
        <v>3</v>
      </c>
      <c r="AB33" s="47" t="str">
        <f>IF(RawDataGenPO[[#This Row],[GRN-PO date]]&gt;RawDataGenPO[[#This Row],[Lead time delivery (day)]],"over deliverry","Ontime")</f>
        <v>Ontime</v>
      </c>
      <c r="AC33" s="56" t="s">
        <v>221</v>
      </c>
      <c r="AD33" s="48"/>
    </row>
    <row r="34" spans="1:30" ht="14.25" x14ac:dyDescent="0.3">
      <c r="A34" s="28">
        <f>ROW()-ROW(RawDataGenPO[[#Headers],[No.]])</f>
        <v>33</v>
      </c>
      <c r="B34" s="33" t="s">
        <v>95</v>
      </c>
      <c r="C34" s="30">
        <v>45978</v>
      </c>
      <c r="D34" s="28" t="s">
        <v>124</v>
      </c>
      <c r="E34" s="28" t="s">
        <v>145</v>
      </c>
      <c r="F34" s="37">
        <v>45979</v>
      </c>
      <c r="G34" s="38">
        <v>30</v>
      </c>
      <c r="H34" s="28" t="s">
        <v>37</v>
      </c>
      <c r="I34" s="28">
        <v>7</v>
      </c>
      <c r="J34" s="39" t="s">
        <v>131</v>
      </c>
      <c r="K34" s="43">
        <v>2</v>
      </c>
      <c r="L34" s="28" t="s">
        <v>135</v>
      </c>
      <c r="M34" s="41">
        <f t="shared" si="0"/>
        <v>2125</v>
      </c>
      <c r="N34" s="42">
        <v>4250</v>
      </c>
      <c r="O34" s="43"/>
      <c r="P34" s="59">
        <v>4250</v>
      </c>
      <c r="Q34" s="59"/>
      <c r="R34" s="59"/>
      <c r="S34" s="59"/>
      <c r="T34" s="59"/>
      <c r="U34" s="59">
        <f>RawDataGenPO[[#This Row],[Total price]]-RawDataGenPO[[#This Row],[Column1]]-RawDataGenPO[[#This Row],[Column14]]-RawDataGenPO[[#This Row],[Column13]]-RawDataGenPO[[#This Row],[Column12]]</f>
        <v>0</v>
      </c>
      <c r="V34" s="33" t="s">
        <v>92</v>
      </c>
      <c r="W34" s="44" t="s">
        <v>8</v>
      </c>
      <c r="X34" s="28" t="s">
        <v>152</v>
      </c>
      <c r="Y34" s="35">
        <v>45982</v>
      </c>
      <c r="Z34" s="45"/>
      <c r="AA34" s="46">
        <f>IF(RawDataGenPO[[#This Row],[Date Gen PO]]="","",RawDataGenPO[[#This Row],[Date recive bill]]-RawDataGenPO[[#This Row],[Date Gen PO]])</f>
        <v>3</v>
      </c>
      <c r="AB34" s="47" t="str">
        <f>IF(RawDataGenPO[[#This Row],[GRN-PO date]]&gt;RawDataGenPO[[#This Row],[Lead time delivery (day)]],"over deliverry","Ontime")</f>
        <v>Ontime</v>
      </c>
      <c r="AC34" s="56" t="s">
        <v>221</v>
      </c>
      <c r="AD34" s="48"/>
    </row>
    <row r="35" spans="1:30" ht="14.25" x14ac:dyDescent="0.3">
      <c r="A35" s="28">
        <f>ROW()-ROW(RawDataGenPO[[#Headers],[No.]])</f>
        <v>34</v>
      </c>
      <c r="B35" s="33" t="s">
        <v>95</v>
      </c>
      <c r="C35" s="30">
        <v>45978</v>
      </c>
      <c r="D35" s="28" t="s">
        <v>124</v>
      </c>
      <c r="E35" s="28" t="s">
        <v>145</v>
      </c>
      <c r="F35" s="37">
        <v>45979</v>
      </c>
      <c r="G35" s="38">
        <v>30</v>
      </c>
      <c r="H35" s="28" t="s">
        <v>37</v>
      </c>
      <c r="I35" s="28">
        <v>8</v>
      </c>
      <c r="J35" s="39" t="s">
        <v>132</v>
      </c>
      <c r="K35" s="43">
        <v>5</v>
      </c>
      <c r="L35" s="28" t="s">
        <v>135</v>
      </c>
      <c r="M35" s="41">
        <f t="shared" si="0"/>
        <v>1665</v>
      </c>
      <c r="N35" s="42">
        <v>8325</v>
      </c>
      <c r="O35" s="43"/>
      <c r="P35" s="59">
        <v>8325</v>
      </c>
      <c r="Q35" s="59"/>
      <c r="R35" s="59"/>
      <c r="S35" s="59"/>
      <c r="T35" s="59"/>
      <c r="U35" s="59">
        <f>RawDataGenPO[[#This Row],[Total price]]-RawDataGenPO[[#This Row],[Column1]]-RawDataGenPO[[#This Row],[Column14]]-RawDataGenPO[[#This Row],[Column13]]-RawDataGenPO[[#This Row],[Column12]]</f>
        <v>0</v>
      </c>
      <c r="V35" s="33" t="s">
        <v>92</v>
      </c>
      <c r="W35" s="44" t="s">
        <v>8</v>
      </c>
      <c r="X35" s="28" t="s">
        <v>152</v>
      </c>
      <c r="Y35" s="35">
        <v>45982</v>
      </c>
      <c r="Z35" s="45"/>
      <c r="AA35" s="46">
        <f>IF(RawDataGenPO[[#This Row],[Date Gen PO]]="","",RawDataGenPO[[#This Row],[Date recive bill]]-RawDataGenPO[[#This Row],[Date Gen PO]])</f>
        <v>3</v>
      </c>
      <c r="AB35" s="47" t="str">
        <f>IF(RawDataGenPO[[#This Row],[GRN-PO date]]&gt;RawDataGenPO[[#This Row],[Lead time delivery (day)]],"over deliverry","Ontime")</f>
        <v>Ontime</v>
      </c>
      <c r="AC35" s="56" t="s">
        <v>221</v>
      </c>
      <c r="AD35" s="48"/>
    </row>
    <row r="36" spans="1:30" ht="14.25" x14ac:dyDescent="0.3">
      <c r="A36" s="28">
        <f>ROW()-ROW(RawDataGenPO[[#Headers],[No.]])</f>
        <v>35</v>
      </c>
      <c r="B36" s="33" t="s">
        <v>95</v>
      </c>
      <c r="C36" s="30">
        <v>45978</v>
      </c>
      <c r="D36" s="28" t="s">
        <v>124</v>
      </c>
      <c r="E36" s="28" t="s">
        <v>145</v>
      </c>
      <c r="F36" s="37">
        <v>45979</v>
      </c>
      <c r="G36" s="38">
        <v>30</v>
      </c>
      <c r="H36" s="28" t="s">
        <v>37</v>
      </c>
      <c r="I36" s="28">
        <v>9</v>
      </c>
      <c r="J36" s="39" t="s">
        <v>133</v>
      </c>
      <c r="K36" s="43">
        <v>3</v>
      </c>
      <c r="L36" s="28" t="s">
        <v>135</v>
      </c>
      <c r="M36" s="41">
        <f t="shared" si="0"/>
        <v>5400</v>
      </c>
      <c r="N36" s="42">
        <v>16200</v>
      </c>
      <c r="O36" s="43"/>
      <c r="P36" s="59">
        <v>16200</v>
      </c>
      <c r="Q36" s="59"/>
      <c r="R36" s="59"/>
      <c r="S36" s="59"/>
      <c r="T36" s="59"/>
      <c r="U36" s="59">
        <f>RawDataGenPO[[#This Row],[Total price]]-RawDataGenPO[[#This Row],[Column1]]-RawDataGenPO[[#This Row],[Column14]]-RawDataGenPO[[#This Row],[Column13]]-RawDataGenPO[[#This Row],[Column12]]</f>
        <v>0</v>
      </c>
      <c r="V36" s="33" t="s">
        <v>92</v>
      </c>
      <c r="W36" s="44" t="s">
        <v>8</v>
      </c>
      <c r="X36" s="28" t="s">
        <v>152</v>
      </c>
      <c r="Y36" s="35">
        <v>45982</v>
      </c>
      <c r="Z36" s="45"/>
      <c r="AA36" s="46">
        <f>IF(RawDataGenPO[[#This Row],[Date Gen PO]]="","",RawDataGenPO[[#This Row],[Date recive bill]]-RawDataGenPO[[#This Row],[Date Gen PO]])</f>
        <v>3</v>
      </c>
      <c r="AB36" s="47" t="str">
        <f>IF(RawDataGenPO[[#This Row],[GRN-PO date]]&gt;RawDataGenPO[[#This Row],[Lead time delivery (day)]],"over deliverry","Ontime")</f>
        <v>Ontime</v>
      </c>
      <c r="AC36" s="56" t="s">
        <v>221</v>
      </c>
      <c r="AD36" s="48"/>
    </row>
    <row r="37" spans="1:30" ht="14.25" x14ac:dyDescent="0.3">
      <c r="A37" s="28">
        <f>ROW()-ROW(RawDataGenPO[[#Headers],[No.]])</f>
        <v>36</v>
      </c>
      <c r="B37" s="33" t="s">
        <v>95</v>
      </c>
      <c r="C37" s="30">
        <v>45978</v>
      </c>
      <c r="D37" s="28" t="s">
        <v>124</v>
      </c>
      <c r="E37" s="28" t="s">
        <v>145</v>
      </c>
      <c r="F37" s="37">
        <v>45979</v>
      </c>
      <c r="G37" s="38">
        <v>30</v>
      </c>
      <c r="H37" s="28" t="s">
        <v>37</v>
      </c>
      <c r="I37" s="28">
        <v>10</v>
      </c>
      <c r="J37" s="39" t="s">
        <v>134</v>
      </c>
      <c r="K37" s="43">
        <v>3</v>
      </c>
      <c r="L37" s="28" t="s">
        <v>135</v>
      </c>
      <c r="M37" s="41">
        <f t="shared" si="0"/>
        <v>2200</v>
      </c>
      <c r="N37" s="42">
        <v>6600</v>
      </c>
      <c r="O37" s="43"/>
      <c r="P37" s="59">
        <v>6600</v>
      </c>
      <c r="Q37" s="59"/>
      <c r="R37" s="59"/>
      <c r="S37" s="59"/>
      <c r="T37" s="59"/>
      <c r="U37" s="59">
        <f>RawDataGenPO[[#This Row],[Total price]]-RawDataGenPO[[#This Row],[Column1]]-RawDataGenPO[[#This Row],[Column14]]-RawDataGenPO[[#This Row],[Column13]]-RawDataGenPO[[#This Row],[Column12]]</f>
        <v>0</v>
      </c>
      <c r="V37" s="33" t="s">
        <v>92</v>
      </c>
      <c r="W37" s="44" t="s">
        <v>8</v>
      </c>
      <c r="X37" s="28" t="s">
        <v>152</v>
      </c>
      <c r="Y37" s="35">
        <v>45982</v>
      </c>
      <c r="Z37" s="45"/>
      <c r="AA37" s="46">
        <f>IF(RawDataGenPO[[#This Row],[Date Gen PO]]="","",RawDataGenPO[[#This Row],[Date recive bill]]-RawDataGenPO[[#This Row],[Date Gen PO]])</f>
        <v>3</v>
      </c>
      <c r="AB37" s="47" t="str">
        <f>IF(RawDataGenPO[[#This Row],[GRN-PO date]]&gt;RawDataGenPO[[#This Row],[Lead time delivery (day)]],"over deliverry","Ontime")</f>
        <v>Ontime</v>
      </c>
      <c r="AC37" s="56" t="s">
        <v>221</v>
      </c>
      <c r="AD37" s="48"/>
    </row>
    <row r="38" spans="1:30" ht="14.25" x14ac:dyDescent="0.3">
      <c r="A38" s="28">
        <f>ROW()-ROW(RawDataGenPO[[#Headers],[No.]])</f>
        <v>37</v>
      </c>
      <c r="B38" s="33" t="s">
        <v>95</v>
      </c>
      <c r="C38" s="30">
        <v>45978</v>
      </c>
      <c r="D38" s="28" t="s">
        <v>136</v>
      </c>
      <c r="E38" s="28" t="s">
        <v>146</v>
      </c>
      <c r="F38" s="37">
        <v>45981</v>
      </c>
      <c r="G38" s="38">
        <v>120</v>
      </c>
      <c r="H38" s="28" t="s">
        <v>37</v>
      </c>
      <c r="I38" s="28">
        <v>1</v>
      </c>
      <c r="J38" s="39" t="s">
        <v>137</v>
      </c>
      <c r="K38" s="43">
        <v>64</v>
      </c>
      <c r="L38" s="28" t="s">
        <v>38</v>
      </c>
      <c r="M38" s="41">
        <f t="shared" ref="M38:M69" si="2">N38/K38</f>
        <v>85</v>
      </c>
      <c r="N38" s="42">
        <v>5440</v>
      </c>
      <c r="O38" s="43"/>
      <c r="P38" s="59">
        <f>RawDataGenPO[[#This Row],[Total price]]*100/100</f>
        <v>5440</v>
      </c>
      <c r="Q38" s="59"/>
      <c r="R38" s="59"/>
      <c r="S38" s="59"/>
      <c r="T38" s="59"/>
      <c r="U38" s="59">
        <f>RawDataGenPO[[#This Row],[Total price]]-RawDataGenPO[[#This Row],[Column1]]-RawDataGenPO[[#This Row],[Column14]]-RawDataGenPO[[#This Row],[Column13]]-RawDataGenPO[[#This Row],[Column12]]</f>
        <v>0</v>
      </c>
      <c r="V38" s="33" t="s">
        <v>147</v>
      </c>
      <c r="W38" s="44" t="s">
        <v>8</v>
      </c>
      <c r="X38" s="28" t="s">
        <v>231</v>
      </c>
      <c r="Y38" s="35">
        <v>46003</v>
      </c>
      <c r="Z38" s="45"/>
      <c r="AA38" s="46">
        <f>IF(RawDataGenPO[[#This Row],[Date Gen PO]]="","",RawDataGenPO[[#This Row],[Date recive bill]]-RawDataGenPO[[#This Row],[Date Gen PO]])</f>
        <v>22</v>
      </c>
      <c r="AB38" s="47" t="str">
        <f>IF(RawDataGenPO[[#This Row],[GRN-PO date]]&gt;RawDataGenPO[[#This Row],[Lead time delivery (day)]],"over deliverry","Ontime")</f>
        <v>Ontime</v>
      </c>
      <c r="AC38" s="56" t="s">
        <v>219</v>
      </c>
      <c r="AD38" s="48"/>
    </row>
    <row r="39" spans="1:30" ht="14.25" x14ac:dyDescent="0.3">
      <c r="A39" s="28">
        <f>ROW()-ROW(RawDataGenPO[[#Headers],[No.]])</f>
        <v>38</v>
      </c>
      <c r="B39" s="33" t="s">
        <v>95</v>
      </c>
      <c r="C39" s="30">
        <v>45978</v>
      </c>
      <c r="D39" s="28" t="s">
        <v>136</v>
      </c>
      <c r="E39" s="28" t="s">
        <v>146</v>
      </c>
      <c r="F39" s="37">
        <v>45981</v>
      </c>
      <c r="G39" s="38">
        <v>120</v>
      </c>
      <c r="H39" s="28" t="s">
        <v>37</v>
      </c>
      <c r="I39" s="28">
        <v>2</v>
      </c>
      <c r="J39" s="39" t="s">
        <v>138</v>
      </c>
      <c r="K39" s="43">
        <v>2</v>
      </c>
      <c r="L39" s="28" t="s">
        <v>38</v>
      </c>
      <c r="M39" s="41">
        <f t="shared" si="2"/>
        <v>250</v>
      </c>
      <c r="N39" s="42">
        <v>500</v>
      </c>
      <c r="O39" s="43"/>
      <c r="P39" s="59">
        <f>RawDataGenPO[[#This Row],[Total price]]*100/100</f>
        <v>500</v>
      </c>
      <c r="Q39" s="59"/>
      <c r="R39" s="59"/>
      <c r="S39" s="59"/>
      <c r="T39" s="59"/>
      <c r="U39" s="59">
        <f>RawDataGenPO[[#This Row],[Total price]]-RawDataGenPO[[#This Row],[Column1]]-RawDataGenPO[[#This Row],[Column14]]-RawDataGenPO[[#This Row],[Column13]]-RawDataGenPO[[#This Row],[Column12]]</f>
        <v>0</v>
      </c>
      <c r="V39" s="33" t="s">
        <v>147</v>
      </c>
      <c r="W39" s="44" t="s">
        <v>8</v>
      </c>
      <c r="X39" s="28" t="s">
        <v>231</v>
      </c>
      <c r="Y39" s="35">
        <v>46003</v>
      </c>
      <c r="Z39" s="45"/>
      <c r="AA39" s="46">
        <f>IF(RawDataGenPO[[#This Row],[Date Gen PO]]="","",RawDataGenPO[[#This Row],[Date recive bill]]-RawDataGenPO[[#This Row],[Date Gen PO]])</f>
        <v>22</v>
      </c>
      <c r="AB39" s="47" t="str">
        <f>IF(RawDataGenPO[[#This Row],[GRN-PO date]]&gt;RawDataGenPO[[#This Row],[Lead time delivery (day)]],"over deliverry","Ontime")</f>
        <v>Ontime</v>
      </c>
      <c r="AC39" s="56" t="s">
        <v>219</v>
      </c>
      <c r="AD39" s="48"/>
    </row>
    <row r="40" spans="1:30" ht="14.25" x14ac:dyDescent="0.3">
      <c r="A40" s="28">
        <f>ROW()-ROW(RawDataGenPO[[#Headers],[No.]])</f>
        <v>39</v>
      </c>
      <c r="B40" s="33" t="s">
        <v>95</v>
      </c>
      <c r="C40" s="30">
        <v>45978</v>
      </c>
      <c r="D40" s="28" t="s">
        <v>136</v>
      </c>
      <c r="E40" s="28" t="s">
        <v>146</v>
      </c>
      <c r="F40" s="37">
        <v>45981</v>
      </c>
      <c r="G40" s="38">
        <v>120</v>
      </c>
      <c r="H40" s="28" t="s">
        <v>37</v>
      </c>
      <c r="I40" s="28">
        <v>3</v>
      </c>
      <c r="J40" s="39" t="s">
        <v>139</v>
      </c>
      <c r="K40" s="43">
        <v>10</v>
      </c>
      <c r="L40" s="28" t="s">
        <v>38</v>
      </c>
      <c r="M40" s="41">
        <f t="shared" si="2"/>
        <v>60</v>
      </c>
      <c r="N40" s="42">
        <v>600</v>
      </c>
      <c r="O40" s="43"/>
      <c r="P40" s="59">
        <f>RawDataGenPO[[#This Row],[Total price]]*100/100</f>
        <v>600</v>
      </c>
      <c r="Q40" s="59"/>
      <c r="R40" s="59"/>
      <c r="S40" s="59"/>
      <c r="T40" s="59"/>
      <c r="U40" s="59">
        <f>RawDataGenPO[[#This Row],[Total price]]-RawDataGenPO[[#This Row],[Column1]]-RawDataGenPO[[#This Row],[Column14]]-RawDataGenPO[[#This Row],[Column13]]-RawDataGenPO[[#This Row],[Column12]]</f>
        <v>0</v>
      </c>
      <c r="V40" s="33" t="s">
        <v>147</v>
      </c>
      <c r="W40" s="44" t="s">
        <v>8</v>
      </c>
      <c r="X40" s="28" t="s">
        <v>231</v>
      </c>
      <c r="Y40" s="35">
        <v>46003</v>
      </c>
      <c r="Z40" s="45"/>
      <c r="AA40" s="46">
        <f>IF(RawDataGenPO[[#This Row],[Date Gen PO]]="","",RawDataGenPO[[#This Row],[Date recive bill]]-RawDataGenPO[[#This Row],[Date Gen PO]])</f>
        <v>22</v>
      </c>
      <c r="AB40" s="47" t="str">
        <f>IF(RawDataGenPO[[#This Row],[GRN-PO date]]&gt;RawDataGenPO[[#This Row],[Lead time delivery (day)]],"over deliverry","Ontime")</f>
        <v>Ontime</v>
      </c>
      <c r="AC40" s="56" t="s">
        <v>219</v>
      </c>
      <c r="AD40" s="48"/>
    </row>
    <row r="41" spans="1:30" ht="14.25" x14ac:dyDescent="0.3">
      <c r="A41" s="28">
        <f>ROW()-ROW(RawDataGenPO[[#Headers],[No.]])</f>
        <v>40</v>
      </c>
      <c r="B41" s="33" t="s">
        <v>95</v>
      </c>
      <c r="C41" s="30">
        <v>45978</v>
      </c>
      <c r="D41" s="28" t="s">
        <v>136</v>
      </c>
      <c r="E41" s="28" t="s">
        <v>146</v>
      </c>
      <c r="F41" s="37">
        <v>45981</v>
      </c>
      <c r="G41" s="38">
        <v>120</v>
      </c>
      <c r="H41" s="28" t="s">
        <v>37</v>
      </c>
      <c r="I41" s="28">
        <v>4</v>
      </c>
      <c r="J41" s="39" t="s">
        <v>140</v>
      </c>
      <c r="K41" s="43">
        <v>10</v>
      </c>
      <c r="L41" s="28" t="s">
        <v>38</v>
      </c>
      <c r="M41" s="41">
        <f t="shared" si="2"/>
        <v>45</v>
      </c>
      <c r="N41" s="42">
        <v>450</v>
      </c>
      <c r="O41" s="43"/>
      <c r="P41" s="59">
        <f>RawDataGenPO[[#This Row],[Total price]]*100/100</f>
        <v>450</v>
      </c>
      <c r="Q41" s="59"/>
      <c r="R41" s="59"/>
      <c r="S41" s="59"/>
      <c r="T41" s="59"/>
      <c r="U41" s="59">
        <f>RawDataGenPO[[#This Row],[Total price]]-RawDataGenPO[[#This Row],[Column1]]-RawDataGenPO[[#This Row],[Column14]]-RawDataGenPO[[#This Row],[Column13]]-RawDataGenPO[[#This Row],[Column12]]</f>
        <v>0</v>
      </c>
      <c r="V41" s="33" t="s">
        <v>147</v>
      </c>
      <c r="W41" s="44" t="s">
        <v>8</v>
      </c>
      <c r="X41" s="28" t="s">
        <v>231</v>
      </c>
      <c r="Y41" s="35">
        <v>46003</v>
      </c>
      <c r="Z41" s="45"/>
      <c r="AA41" s="46">
        <f>IF(RawDataGenPO[[#This Row],[Date Gen PO]]="","",RawDataGenPO[[#This Row],[Date recive bill]]-RawDataGenPO[[#This Row],[Date Gen PO]])</f>
        <v>22</v>
      </c>
      <c r="AB41" s="47" t="str">
        <f>IF(RawDataGenPO[[#This Row],[GRN-PO date]]&gt;RawDataGenPO[[#This Row],[Lead time delivery (day)]],"over deliverry","Ontime")</f>
        <v>Ontime</v>
      </c>
      <c r="AC41" s="56" t="s">
        <v>219</v>
      </c>
      <c r="AD41" s="48"/>
    </row>
    <row r="42" spans="1:30" ht="14.25" x14ac:dyDescent="0.3">
      <c r="A42" s="28">
        <f>ROW()-ROW(RawDataGenPO[[#Headers],[No.]])</f>
        <v>41</v>
      </c>
      <c r="B42" s="33" t="s">
        <v>95</v>
      </c>
      <c r="C42" s="30">
        <v>45978</v>
      </c>
      <c r="D42" s="28" t="s">
        <v>136</v>
      </c>
      <c r="E42" s="28" t="s">
        <v>148</v>
      </c>
      <c r="F42" s="37">
        <v>45981</v>
      </c>
      <c r="G42" s="38">
        <v>120</v>
      </c>
      <c r="H42" s="28" t="s">
        <v>37</v>
      </c>
      <c r="I42" s="28">
        <v>5</v>
      </c>
      <c r="J42" s="39" t="s">
        <v>141</v>
      </c>
      <c r="K42" s="43">
        <v>24</v>
      </c>
      <c r="L42" s="28" t="s">
        <v>38</v>
      </c>
      <c r="M42" s="41">
        <f t="shared" si="2"/>
        <v>680</v>
      </c>
      <c r="N42" s="42">
        <v>16320</v>
      </c>
      <c r="O42" s="43"/>
      <c r="P42" s="59">
        <f>RawDataGenPO[[#This Row],[Total price]]*100/100</f>
        <v>16320</v>
      </c>
      <c r="Q42" s="59"/>
      <c r="R42" s="59"/>
      <c r="S42" s="59"/>
      <c r="T42" s="59"/>
      <c r="U42" s="59">
        <f>RawDataGenPO[[#This Row],[Total price]]-RawDataGenPO[[#This Row],[Column1]]-RawDataGenPO[[#This Row],[Column14]]-RawDataGenPO[[#This Row],[Column13]]-RawDataGenPO[[#This Row],[Column12]]</f>
        <v>0</v>
      </c>
      <c r="V42" s="33" t="s">
        <v>149</v>
      </c>
      <c r="W42" s="44" t="s">
        <v>8</v>
      </c>
      <c r="X42" s="28" t="s">
        <v>273</v>
      </c>
      <c r="Y42" s="35">
        <v>46007</v>
      </c>
      <c r="Z42" s="45"/>
      <c r="AA42" s="46">
        <f>IF(RawDataGenPO[[#This Row],[Date Gen PO]]="","",RawDataGenPO[[#This Row],[Date recive bill]]-RawDataGenPO[[#This Row],[Date Gen PO]])</f>
        <v>26</v>
      </c>
      <c r="AB42" s="47" t="str">
        <f>IF(RawDataGenPO[[#This Row],[GRN-PO date]]&gt;RawDataGenPO[[#This Row],[Lead time delivery (day)]],"over deliverry","Ontime")</f>
        <v>Ontime</v>
      </c>
      <c r="AC42" s="56" t="s">
        <v>219</v>
      </c>
      <c r="AD42" s="48"/>
    </row>
    <row r="43" spans="1:30" ht="14.25" x14ac:dyDescent="0.3">
      <c r="A43" s="28">
        <f>ROW()-ROW(RawDataGenPO[[#Headers],[No.]])</f>
        <v>42</v>
      </c>
      <c r="B43" s="33" t="s">
        <v>95</v>
      </c>
      <c r="C43" s="30">
        <v>45978</v>
      </c>
      <c r="D43" s="28" t="s">
        <v>136</v>
      </c>
      <c r="E43" s="28" t="s">
        <v>148</v>
      </c>
      <c r="F43" s="37">
        <v>45981</v>
      </c>
      <c r="G43" s="38">
        <v>120</v>
      </c>
      <c r="H43" s="28" t="s">
        <v>37</v>
      </c>
      <c r="J43" s="39" t="s">
        <v>217</v>
      </c>
      <c r="K43" s="43">
        <v>1</v>
      </c>
      <c r="L43" s="28" t="s">
        <v>41</v>
      </c>
      <c r="M43" s="41">
        <f t="shared" si="2"/>
        <v>70</v>
      </c>
      <c r="N43" s="42">
        <v>70</v>
      </c>
      <c r="O43" s="43"/>
      <c r="P43" s="59">
        <f>RawDataGenPO[[#This Row],[Total price]]*100/100</f>
        <v>70</v>
      </c>
      <c r="Q43" s="59"/>
      <c r="R43" s="59"/>
      <c r="S43" s="59"/>
      <c r="T43" s="59"/>
      <c r="U43" s="59">
        <f>RawDataGenPO[[#This Row],[Total price]]-RawDataGenPO[[#This Row],[Column1]]-RawDataGenPO[[#This Row],[Column14]]-RawDataGenPO[[#This Row],[Column13]]-RawDataGenPO[[#This Row],[Column12]]</f>
        <v>0</v>
      </c>
      <c r="V43" s="33" t="s">
        <v>149</v>
      </c>
      <c r="W43" s="44" t="s">
        <v>8</v>
      </c>
      <c r="X43" s="28" t="s">
        <v>273</v>
      </c>
      <c r="Y43" s="35">
        <v>46007</v>
      </c>
      <c r="Z43" s="45"/>
      <c r="AA43" s="46">
        <f>IF(RawDataGenPO[[#This Row],[Date Gen PO]]="","",RawDataGenPO[[#This Row],[Date recive bill]]-RawDataGenPO[[#This Row],[Date Gen PO]])</f>
        <v>26</v>
      </c>
      <c r="AB43" s="47" t="str">
        <f>IF(RawDataGenPO[[#This Row],[GRN-PO date]]&gt;RawDataGenPO[[#This Row],[Lead time delivery (day)]],"over deliverry","Ontime")</f>
        <v>Ontime</v>
      </c>
      <c r="AC43" s="56" t="s">
        <v>219</v>
      </c>
      <c r="AD43" s="48"/>
    </row>
    <row r="44" spans="1:30" ht="14.25" x14ac:dyDescent="0.3">
      <c r="A44" s="28">
        <f>ROW()-ROW(RawDataGenPO[[#Headers],[No.]])</f>
        <v>43</v>
      </c>
      <c r="B44" s="33" t="s">
        <v>95</v>
      </c>
      <c r="C44" s="30">
        <v>45978</v>
      </c>
      <c r="D44" s="28" t="s">
        <v>136</v>
      </c>
      <c r="E44" s="28" t="s">
        <v>150</v>
      </c>
      <c r="F44" s="37">
        <v>45981</v>
      </c>
      <c r="G44" s="38">
        <v>120</v>
      </c>
      <c r="H44" s="28" t="s">
        <v>37</v>
      </c>
      <c r="I44" s="28">
        <v>6</v>
      </c>
      <c r="J44" s="39" t="s">
        <v>428</v>
      </c>
      <c r="K44" s="43">
        <v>10</v>
      </c>
      <c r="L44" s="28" t="s">
        <v>38</v>
      </c>
      <c r="M44" s="41">
        <f t="shared" si="2"/>
        <v>200</v>
      </c>
      <c r="N44" s="42">
        <v>2000</v>
      </c>
      <c r="O44" s="43"/>
      <c r="P44" s="59">
        <v>2000</v>
      </c>
      <c r="Q44" s="59"/>
      <c r="R44" s="59"/>
      <c r="S44" s="59"/>
      <c r="T44" s="59"/>
      <c r="U44" s="59">
        <f>RawDataGenPO[[#This Row],[Total price]]-RawDataGenPO[[#This Row],[Column1]]-RawDataGenPO[[#This Row],[Column14]]-RawDataGenPO[[#This Row],[Column13]]-RawDataGenPO[[#This Row],[Column12]]</f>
        <v>0</v>
      </c>
      <c r="V44" s="33" t="s">
        <v>151</v>
      </c>
      <c r="W44" s="44" t="s">
        <v>8</v>
      </c>
      <c r="X44" s="28" t="s">
        <v>427</v>
      </c>
      <c r="Y44" s="35">
        <v>46042</v>
      </c>
      <c r="Z44" s="45"/>
      <c r="AA44" s="46">
        <f>IF(RawDataGenPO[[#This Row],[Date Gen PO]]="","",RawDataGenPO[[#This Row],[Date recive bill]]-RawDataGenPO[[#This Row],[Date Gen PO]])</f>
        <v>61</v>
      </c>
      <c r="AB44" s="47" t="str">
        <f>IF(RawDataGenPO[[#This Row],[GRN-PO date]]&gt;RawDataGenPO[[#This Row],[Lead time delivery (day)]],"over deliverry","Ontime")</f>
        <v>Ontime</v>
      </c>
      <c r="AC44" s="56" t="s">
        <v>219</v>
      </c>
      <c r="AD44" s="48"/>
    </row>
    <row r="45" spans="1:30" ht="14.25" x14ac:dyDescent="0.3">
      <c r="A45" s="28">
        <f>ROW()-ROW(RawDataGenPO[[#Headers],[No.]])</f>
        <v>44</v>
      </c>
      <c r="B45" s="33" t="s">
        <v>95</v>
      </c>
      <c r="C45" s="30">
        <v>45978</v>
      </c>
      <c r="D45" s="28" t="s">
        <v>136</v>
      </c>
      <c r="E45" s="28" t="s">
        <v>150</v>
      </c>
      <c r="F45" s="37">
        <v>45981</v>
      </c>
      <c r="G45" s="38">
        <v>120</v>
      </c>
      <c r="H45" s="28" t="s">
        <v>37</v>
      </c>
      <c r="I45" s="28">
        <v>7</v>
      </c>
      <c r="J45" s="39" t="s">
        <v>429</v>
      </c>
      <c r="K45" s="43">
        <v>10</v>
      </c>
      <c r="L45" s="28" t="s">
        <v>38</v>
      </c>
      <c r="M45" s="41">
        <f t="shared" si="2"/>
        <v>190</v>
      </c>
      <c r="N45" s="42">
        <v>1900</v>
      </c>
      <c r="O45" s="43"/>
      <c r="P45" s="59">
        <v>1900</v>
      </c>
      <c r="Q45" s="59"/>
      <c r="R45" s="59"/>
      <c r="S45" s="59"/>
      <c r="T45" s="59"/>
      <c r="U45" s="59">
        <f>RawDataGenPO[[#This Row],[Total price]]-RawDataGenPO[[#This Row],[Column1]]-RawDataGenPO[[#This Row],[Column14]]-RawDataGenPO[[#This Row],[Column13]]-RawDataGenPO[[#This Row],[Column12]]</f>
        <v>0</v>
      </c>
      <c r="V45" s="33" t="s">
        <v>151</v>
      </c>
      <c r="W45" s="44" t="s">
        <v>8</v>
      </c>
      <c r="X45" s="28" t="s">
        <v>294</v>
      </c>
      <c r="Y45" s="35">
        <v>46013</v>
      </c>
      <c r="Z45" s="45"/>
      <c r="AA45" s="46">
        <f>IF(RawDataGenPO[[#This Row],[Date Gen PO]]="","",RawDataGenPO[[#This Row],[Date recive bill]]-RawDataGenPO[[#This Row],[Date Gen PO]])</f>
        <v>32</v>
      </c>
      <c r="AB45" s="47" t="str">
        <f>IF(RawDataGenPO[[#This Row],[GRN-PO date]]&gt;RawDataGenPO[[#This Row],[Lead time delivery (day)]],"over deliverry","Ontime")</f>
        <v>Ontime</v>
      </c>
      <c r="AC45" s="56" t="s">
        <v>219</v>
      </c>
      <c r="AD45" s="48"/>
    </row>
    <row r="46" spans="1:30" ht="14.25" x14ac:dyDescent="0.3">
      <c r="A46" s="28">
        <f>ROW()-ROW(RawDataGenPO[[#Headers],[No.]])</f>
        <v>45</v>
      </c>
      <c r="B46" s="33" t="s">
        <v>95</v>
      </c>
      <c r="C46" s="30">
        <v>45978</v>
      </c>
      <c r="D46" s="28" t="s">
        <v>136</v>
      </c>
      <c r="E46" s="28" t="s">
        <v>150</v>
      </c>
      <c r="F46" s="37">
        <v>45981</v>
      </c>
      <c r="G46" s="38">
        <v>120</v>
      </c>
      <c r="H46" s="28" t="s">
        <v>37</v>
      </c>
      <c r="I46" s="28">
        <v>8</v>
      </c>
      <c r="J46" s="39" t="s">
        <v>430</v>
      </c>
      <c r="K46" s="43">
        <v>10</v>
      </c>
      <c r="L46" s="28" t="s">
        <v>38</v>
      </c>
      <c r="M46" s="41">
        <f t="shared" si="2"/>
        <v>670</v>
      </c>
      <c r="N46" s="42">
        <v>6700</v>
      </c>
      <c r="O46" s="43"/>
      <c r="P46" s="59">
        <v>6700</v>
      </c>
      <c r="Q46" s="59"/>
      <c r="R46" s="59"/>
      <c r="S46" s="59"/>
      <c r="T46" s="59"/>
      <c r="U46" s="59">
        <f>RawDataGenPO[[#This Row],[Total price]]-RawDataGenPO[[#This Row],[Column1]]-RawDataGenPO[[#This Row],[Column14]]-RawDataGenPO[[#This Row],[Column13]]-RawDataGenPO[[#This Row],[Column12]]</f>
        <v>0</v>
      </c>
      <c r="V46" s="33" t="s">
        <v>151</v>
      </c>
      <c r="W46" s="44" t="s">
        <v>8</v>
      </c>
      <c r="X46" s="28" t="s">
        <v>427</v>
      </c>
      <c r="Y46" s="35">
        <v>46042</v>
      </c>
      <c r="Z46" s="45"/>
      <c r="AA46" s="46">
        <f>IF(RawDataGenPO[[#This Row],[Date Gen PO]]="","",RawDataGenPO[[#This Row],[Date recive bill]]-RawDataGenPO[[#This Row],[Date Gen PO]])</f>
        <v>61</v>
      </c>
      <c r="AB46" s="47" t="str">
        <f>IF(RawDataGenPO[[#This Row],[GRN-PO date]]&gt;RawDataGenPO[[#This Row],[Lead time delivery (day)]],"over deliverry","Ontime")</f>
        <v>Ontime</v>
      </c>
      <c r="AC46" s="56" t="s">
        <v>219</v>
      </c>
      <c r="AD46" s="48"/>
    </row>
    <row r="47" spans="1:30" ht="14.25" x14ac:dyDescent="0.3">
      <c r="A47" s="28">
        <f>ROW()-ROW(RawDataGenPO[[#Headers],[No.]])</f>
        <v>46</v>
      </c>
      <c r="B47" s="33" t="s">
        <v>95</v>
      </c>
      <c r="C47" s="30">
        <v>45982</v>
      </c>
      <c r="D47" s="28" t="s">
        <v>153</v>
      </c>
      <c r="E47" s="28" t="s">
        <v>265</v>
      </c>
      <c r="F47" s="37">
        <v>45994</v>
      </c>
      <c r="G47" s="38">
        <v>120</v>
      </c>
      <c r="H47" s="28" t="s">
        <v>154</v>
      </c>
      <c r="I47" s="28">
        <v>1</v>
      </c>
      <c r="J47" s="39" t="s">
        <v>155</v>
      </c>
      <c r="K47" s="43">
        <v>1</v>
      </c>
      <c r="L47" s="28" t="s">
        <v>156</v>
      </c>
      <c r="M47" s="41">
        <f t="shared" si="2"/>
        <v>20000</v>
      </c>
      <c r="N47" s="42">
        <v>20000</v>
      </c>
      <c r="O47" s="43"/>
      <c r="P47" s="43"/>
      <c r="Q47" s="43"/>
      <c r="R47" s="43"/>
      <c r="S47" s="43"/>
      <c r="T47" s="43"/>
      <c r="U47" s="43">
        <f>RawDataGenPO[[#This Row],[Total price]]-RawDataGenPO[[#This Row],[Column1]]-RawDataGenPO[[#This Row],[Column14]]-RawDataGenPO[[#This Row],[Column13]]-RawDataGenPO[[#This Row],[Column12]]</f>
        <v>20000</v>
      </c>
      <c r="V47" s="33" t="s">
        <v>266</v>
      </c>
      <c r="W47" s="44" t="s">
        <v>9</v>
      </c>
      <c r="Z47" s="45"/>
      <c r="AA47" s="46">
        <f>IF(RawDataGenPO[[#This Row],[Date Gen PO]]="","",RawDataGenPO[[#This Row],[Date recive bill]]-RawDataGenPO[[#This Row],[Date Gen PO]])</f>
        <v>-45994</v>
      </c>
      <c r="AB47" s="47" t="str">
        <f>IF(RawDataGenPO[[#This Row],[GRN-PO date]]&gt;RawDataGenPO[[#This Row],[Lead time delivery (day)]],"over deliverry","Ontime")</f>
        <v>Ontime</v>
      </c>
      <c r="AC47" s="56" t="s">
        <v>219</v>
      </c>
      <c r="AD47" s="48"/>
    </row>
    <row r="48" spans="1:30" ht="14.25" x14ac:dyDescent="0.3">
      <c r="A48" s="28">
        <f>ROW()-ROW(RawDataGenPO[[#Headers],[No.]])</f>
        <v>47</v>
      </c>
      <c r="B48" s="33" t="s">
        <v>95</v>
      </c>
      <c r="C48" s="30">
        <v>45986</v>
      </c>
      <c r="D48" s="28" t="s">
        <v>157</v>
      </c>
      <c r="E48" s="28" t="s">
        <v>267</v>
      </c>
      <c r="F48" s="37">
        <v>46007</v>
      </c>
      <c r="G48" s="38">
        <v>120</v>
      </c>
      <c r="H48" s="28" t="s">
        <v>37</v>
      </c>
      <c r="I48" s="28">
        <v>1</v>
      </c>
      <c r="J48" s="39" t="s">
        <v>158</v>
      </c>
      <c r="K48" s="43">
        <v>15</v>
      </c>
      <c r="L48" s="28" t="s">
        <v>162</v>
      </c>
      <c r="M48" s="41">
        <f t="shared" si="2"/>
        <v>1230</v>
      </c>
      <c r="N48" s="42">
        <v>18450</v>
      </c>
      <c r="O48" s="43"/>
      <c r="P48" s="59">
        <v>18450</v>
      </c>
      <c r="Q48" s="59"/>
      <c r="R48" s="59"/>
      <c r="S48" s="59"/>
      <c r="T48" s="59"/>
      <c r="U48" s="59">
        <f>RawDataGenPO[[#This Row],[Total price]]-RawDataGenPO[[#This Row],[Column1]]-RawDataGenPO[[#This Row],[Column14]]-RawDataGenPO[[#This Row],[Column13]]-RawDataGenPO[[#This Row],[Column12]]</f>
        <v>0</v>
      </c>
      <c r="V48" s="33" t="s">
        <v>268</v>
      </c>
      <c r="W48" s="44" t="s">
        <v>8</v>
      </c>
      <c r="X48" s="28" t="s">
        <v>487</v>
      </c>
      <c r="Y48" s="35">
        <v>46055</v>
      </c>
      <c r="Z48" s="45"/>
      <c r="AA48" s="46">
        <f>IF(RawDataGenPO[[#This Row],[Date Gen PO]]="","",RawDataGenPO[[#This Row],[Date recive bill]]-RawDataGenPO[[#This Row],[Date Gen PO]])</f>
        <v>48</v>
      </c>
      <c r="AB48" s="47" t="str">
        <f>IF(RawDataGenPO[[#This Row],[GRN-PO date]]&gt;RawDataGenPO[[#This Row],[Lead time delivery (day)]],"over deliverry","Ontime")</f>
        <v>Ontime</v>
      </c>
      <c r="AC48" s="56" t="s">
        <v>222</v>
      </c>
      <c r="AD48" s="48"/>
    </row>
    <row r="49" spans="1:30" ht="14.25" x14ac:dyDescent="0.3">
      <c r="A49" s="28">
        <f>ROW()-ROW(RawDataGenPO[[#Headers],[No.]])</f>
        <v>48</v>
      </c>
      <c r="B49" s="33" t="s">
        <v>95</v>
      </c>
      <c r="C49" s="30">
        <v>45986</v>
      </c>
      <c r="D49" s="28" t="s">
        <v>157</v>
      </c>
      <c r="E49" s="28" t="s">
        <v>267</v>
      </c>
      <c r="F49" s="37">
        <v>46007</v>
      </c>
      <c r="G49" s="38">
        <v>120</v>
      </c>
      <c r="H49" s="28" t="s">
        <v>37</v>
      </c>
      <c r="I49" s="28">
        <v>2</v>
      </c>
      <c r="J49" s="39" t="s">
        <v>159</v>
      </c>
      <c r="K49" s="43">
        <v>3</v>
      </c>
      <c r="L49" s="28" t="s">
        <v>163</v>
      </c>
      <c r="M49" s="41">
        <f t="shared" si="2"/>
        <v>1120</v>
      </c>
      <c r="N49" s="42">
        <v>3360</v>
      </c>
      <c r="O49" s="43"/>
      <c r="P49" s="59">
        <v>3360</v>
      </c>
      <c r="Q49" s="59"/>
      <c r="R49" s="59"/>
      <c r="S49" s="59"/>
      <c r="T49" s="59"/>
      <c r="U49" s="59">
        <f>RawDataGenPO[[#This Row],[Total price]]-RawDataGenPO[[#This Row],[Column1]]-RawDataGenPO[[#This Row],[Column14]]-RawDataGenPO[[#This Row],[Column13]]-RawDataGenPO[[#This Row],[Column12]]</f>
        <v>0</v>
      </c>
      <c r="V49" s="33" t="s">
        <v>268</v>
      </c>
      <c r="W49" s="44" t="s">
        <v>8</v>
      </c>
      <c r="X49" s="28" t="s">
        <v>487</v>
      </c>
      <c r="Y49" s="35">
        <v>46055</v>
      </c>
      <c r="Z49" s="45"/>
      <c r="AA49" s="46">
        <f>IF(RawDataGenPO[[#This Row],[Date Gen PO]]="","",RawDataGenPO[[#This Row],[Date recive bill]]-RawDataGenPO[[#This Row],[Date Gen PO]])</f>
        <v>48</v>
      </c>
      <c r="AB49" s="47" t="str">
        <f>IF(RawDataGenPO[[#This Row],[GRN-PO date]]&gt;RawDataGenPO[[#This Row],[Lead time delivery (day)]],"over deliverry","Ontime")</f>
        <v>Ontime</v>
      </c>
      <c r="AC49" s="56" t="s">
        <v>222</v>
      </c>
      <c r="AD49" s="48"/>
    </row>
    <row r="50" spans="1:30" ht="14.25" x14ac:dyDescent="0.3">
      <c r="A50" s="28">
        <f>ROW()-ROW(RawDataGenPO[[#Headers],[No.]])</f>
        <v>49</v>
      </c>
      <c r="B50" s="33" t="s">
        <v>95</v>
      </c>
      <c r="C50" s="30">
        <v>45986</v>
      </c>
      <c r="D50" s="28" t="s">
        <v>157</v>
      </c>
      <c r="E50" s="28" t="s">
        <v>269</v>
      </c>
      <c r="F50" s="37">
        <v>46007</v>
      </c>
      <c r="G50" s="38">
        <v>120</v>
      </c>
      <c r="H50" s="28" t="s">
        <v>37</v>
      </c>
      <c r="I50" s="28">
        <v>3</v>
      </c>
      <c r="J50" s="39" t="s">
        <v>160</v>
      </c>
      <c r="K50" s="43">
        <v>3</v>
      </c>
      <c r="L50" s="28" t="s">
        <v>163</v>
      </c>
      <c r="M50" s="41">
        <f t="shared" si="2"/>
        <v>380</v>
      </c>
      <c r="N50" s="42">
        <v>1140</v>
      </c>
      <c r="O50" s="43"/>
      <c r="P50" s="75">
        <v>9500</v>
      </c>
      <c r="Q50" s="75"/>
      <c r="R50" s="75"/>
      <c r="S50" s="75"/>
      <c r="T50" s="75"/>
      <c r="U50" s="75">
        <f>RawDataGenPO[[#This Row],[Total price]]-RawDataGenPO[[#This Row],[Column1]]-RawDataGenPO[[#This Row],[Column14]]-RawDataGenPO[[#This Row],[Column13]]-RawDataGenPO[[#This Row],[Column12]]</f>
        <v>-8360</v>
      </c>
      <c r="V50" s="33" t="s">
        <v>270</v>
      </c>
      <c r="W50" s="44" t="s">
        <v>9</v>
      </c>
      <c r="Z50" s="45"/>
      <c r="AA50" s="46">
        <f>IF(RawDataGenPO[[#This Row],[Date Gen PO]]="","",RawDataGenPO[[#This Row],[Date recive bill]]-RawDataGenPO[[#This Row],[Date Gen PO]])</f>
        <v>-46007</v>
      </c>
      <c r="AB50" s="47" t="str">
        <f>IF(RawDataGenPO[[#This Row],[GRN-PO date]]&gt;RawDataGenPO[[#This Row],[Lead time delivery (day)]],"over deliverry","Ontime")</f>
        <v>Ontime</v>
      </c>
      <c r="AC50" s="56" t="s">
        <v>222</v>
      </c>
      <c r="AD50" s="48"/>
    </row>
    <row r="51" spans="1:30" ht="14.25" x14ac:dyDescent="0.3">
      <c r="A51" s="28">
        <f>ROW()-ROW(RawDataGenPO[[#Headers],[No.]])</f>
        <v>50</v>
      </c>
      <c r="B51" s="33" t="s">
        <v>95</v>
      </c>
      <c r="C51" s="30">
        <v>45986</v>
      </c>
      <c r="D51" s="28" t="s">
        <v>157</v>
      </c>
      <c r="E51" s="28" t="s">
        <v>267</v>
      </c>
      <c r="F51" s="37">
        <v>46007</v>
      </c>
      <c r="G51" s="38">
        <v>120</v>
      </c>
      <c r="H51" s="28" t="s">
        <v>37</v>
      </c>
      <c r="I51" s="28">
        <v>4</v>
      </c>
      <c r="J51" s="39" t="s">
        <v>161</v>
      </c>
      <c r="K51" s="43">
        <v>5</v>
      </c>
      <c r="L51" s="28" t="s">
        <v>163</v>
      </c>
      <c r="M51" s="41">
        <f t="shared" si="2"/>
        <v>1900</v>
      </c>
      <c r="N51" s="42">
        <v>9500</v>
      </c>
      <c r="O51" s="43"/>
      <c r="P51" s="59">
        <v>9500</v>
      </c>
      <c r="Q51" s="59"/>
      <c r="R51" s="59"/>
      <c r="S51" s="59"/>
      <c r="T51" s="59"/>
      <c r="U51" s="59">
        <f>RawDataGenPO[[#This Row],[Total price]]-RawDataGenPO[[#This Row],[Column1]]-RawDataGenPO[[#This Row],[Column14]]-RawDataGenPO[[#This Row],[Column13]]-RawDataGenPO[[#This Row],[Column12]]</f>
        <v>0</v>
      </c>
      <c r="V51" s="33" t="s">
        <v>268</v>
      </c>
      <c r="W51" s="44" t="s">
        <v>8</v>
      </c>
      <c r="X51" s="28" t="s">
        <v>487</v>
      </c>
      <c r="Y51" s="35">
        <v>46055</v>
      </c>
      <c r="Z51" s="45"/>
      <c r="AA51" s="46">
        <f>IF(RawDataGenPO[[#This Row],[Date Gen PO]]="","",RawDataGenPO[[#This Row],[Date recive bill]]-RawDataGenPO[[#This Row],[Date Gen PO]])</f>
        <v>48</v>
      </c>
      <c r="AB51" s="47" t="str">
        <f>IF(RawDataGenPO[[#This Row],[GRN-PO date]]&gt;RawDataGenPO[[#This Row],[Lead time delivery (day)]],"over deliverry","Ontime")</f>
        <v>Ontime</v>
      </c>
      <c r="AC51" s="56" t="s">
        <v>222</v>
      </c>
      <c r="AD51" s="48"/>
    </row>
    <row r="52" spans="1:30" ht="14.25" x14ac:dyDescent="0.3">
      <c r="A52" s="28">
        <f>ROW()-ROW(RawDataGenPO[[#Headers],[No.]])</f>
        <v>51</v>
      </c>
      <c r="B52" s="33" t="s">
        <v>14</v>
      </c>
      <c r="C52" s="30">
        <v>45986</v>
      </c>
      <c r="D52" s="28" t="s">
        <v>164</v>
      </c>
      <c r="E52" s="28" t="s">
        <v>338</v>
      </c>
      <c r="F52" s="37">
        <v>46008</v>
      </c>
      <c r="G52" s="38">
        <v>120</v>
      </c>
      <c r="H52" s="28" t="s">
        <v>40</v>
      </c>
      <c r="I52" s="28">
        <v>1</v>
      </c>
      <c r="J52" s="39" t="s">
        <v>165</v>
      </c>
      <c r="K52" s="43">
        <v>2</v>
      </c>
      <c r="L52" s="28" t="s">
        <v>156</v>
      </c>
      <c r="M52" s="41">
        <f t="shared" si="2"/>
        <v>4350</v>
      </c>
      <c r="N52" s="42">
        <v>8700</v>
      </c>
      <c r="O52" s="43"/>
      <c r="P52" s="59">
        <v>8700</v>
      </c>
      <c r="Q52" s="59"/>
      <c r="R52" s="59"/>
      <c r="S52" s="59"/>
      <c r="T52" s="59"/>
      <c r="U52" s="59">
        <f>RawDataGenPO[[#This Row],[Total price]]-RawDataGenPO[[#This Row],[Column1]]-RawDataGenPO[[#This Row],[Column14]]-RawDataGenPO[[#This Row],[Column13]]-RawDataGenPO[[#This Row],[Column12]]</f>
        <v>0</v>
      </c>
      <c r="V52" s="33" t="s">
        <v>339</v>
      </c>
      <c r="W52" s="44" t="s">
        <v>8</v>
      </c>
      <c r="X52" s="28" t="s">
        <v>468</v>
      </c>
      <c r="Y52" s="35">
        <v>46036</v>
      </c>
      <c r="Z52" s="45"/>
      <c r="AA52" s="46">
        <f>IF(RawDataGenPO[[#This Row],[Date Gen PO]]="","",RawDataGenPO[[#This Row],[Date recive bill]]-RawDataGenPO[[#This Row],[Date Gen PO]])</f>
        <v>28</v>
      </c>
      <c r="AB52" s="47" t="str">
        <f>IF(RawDataGenPO[[#This Row],[GRN-PO date]]&gt;RawDataGenPO[[#This Row],[Lead time delivery (day)]],"over deliverry","Ontime")</f>
        <v>Ontime</v>
      </c>
      <c r="AC52" s="56" t="s">
        <v>222</v>
      </c>
      <c r="AD52" s="48"/>
    </row>
    <row r="53" spans="1:30" ht="14.25" x14ac:dyDescent="0.3">
      <c r="A53" s="28">
        <f>ROW()-ROW(RawDataGenPO[[#Headers],[No.]])</f>
        <v>52</v>
      </c>
      <c r="B53" s="33" t="s">
        <v>14</v>
      </c>
      <c r="C53" s="30">
        <v>45986</v>
      </c>
      <c r="D53" s="28" t="s">
        <v>164</v>
      </c>
      <c r="E53" s="28" t="s">
        <v>340</v>
      </c>
      <c r="F53" s="37">
        <v>46008</v>
      </c>
      <c r="G53" s="38">
        <v>120</v>
      </c>
      <c r="H53" s="28" t="s">
        <v>40</v>
      </c>
      <c r="I53" s="28">
        <v>2</v>
      </c>
      <c r="J53" s="39" t="s">
        <v>166</v>
      </c>
      <c r="K53" s="43">
        <v>2</v>
      </c>
      <c r="L53" s="28" t="s">
        <v>156</v>
      </c>
      <c r="M53" s="41">
        <f t="shared" si="2"/>
        <v>500</v>
      </c>
      <c r="N53" s="42">
        <v>1000</v>
      </c>
      <c r="O53" s="43"/>
      <c r="P53" s="59">
        <v>1000</v>
      </c>
      <c r="Q53" s="59"/>
      <c r="R53" s="59"/>
      <c r="S53" s="59"/>
      <c r="T53" s="59"/>
      <c r="U53" s="59">
        <f>RawDataGenPO[[#This Row],[Total price]]-RawDataGenPO[[#This Row],[Column1]]-RawDataGenPO[[#This Row],[Column14]]-RawDataGenPO[[#This Row],[Column13]]-RawDataGenPO[[#This Row],[Column12]]</f>
        <v>0</v>
      </c>
      <c r="V53" s="33" t="s">
        <v>341</v>
      </c>
      <c r="W53" s="44" t="s">
        <v>8</v>
      </c>
      <c r="X53" s="28" t="s">
        <v>467</v>
      </c>
      <c r="Y53" s="35">
        <v>46055</v>
      </c>
      <c r="Z53" s="45"/>
      <c r="AA53" s="46">
        <f>IF(RawDataGenPO[[#This Row],[Date Gen PO]]="","",RawDataGenPO[[#This Row],[Date recive bill]]-RawDataGenPO[[#This Row],[Date Gen PO]])</f>
        <v>47</v>
      </c>
      <c r="AB53" s="47" t="str">
        <f>IF(RawDataGenPO[[#This Row],[GRN-PO date]]&gt;RawDataGenPO[[#This Row],[Lead time delivery (day)]],"over deliverry","Ontime")</f>
        <v>Ontime</v>
      </c>
      <c r="AC53" s="56" t="s">
        <v>221</v>
      </c>
      <c r="AD53" s="48"/>
    </row>
    <row r="54" spans="1:30" ht="14.25" x14ac:dyDescent="0.3">
      <c r="A54" s="28">
        <f>ROW()-ROW(RawDataGenPO[[#Headers],[No.]])</f>
        <v>53</v>
      </c>
      <c r="B54" s="33" t="s">
        <v>14</v>
      </c>
      <c r="C54" s="30">
        <v>45986</v>
      </c>
      <c r="D54" s="28" t="s">
        <v>164</v>
      </c>
      <c r="E54" s="28" t="s">
        <v>342</v>
      </c>
      <c r="F54" s="37">
        <v>46008</v>
      </c>
      <c r="G54" s="38">
        <v>120</v>
      </c>
      <c r="H54" s="28" t="s">
        <v>40</v>
      </c>
      <c r="I54" s="28">
        <v>3</v>
      </c>
      <c r="J54" s="39" t="s">
        <v>167</v>
      </c>
      <c r="K54" s="43">
        <v>3</v>
      </c>
      <c r="L54" s="28" t="s">
        <v>156</v>
      </c>
      <c r="M54" s="41">
        <f t="shared" si="2"/>
        <v>13170</v>
      </c>
      <c r="N54" s="42">
        <v>39510</v>
      </c>
      <c r="O54" s="43"/>
      <c r="P54" s="59">
        <v>39510</v>
      </c>
      <c r="Q54" s="59"/>
      <c r="R54" s="59"/>
      <c r="S54" s="59"/>
      <c r="T54" s="59"/>
      <c r="U54" s="59">
        <f>RawDataGenPO[[#This Row],[Total price]]-RawDataGenPO[[#This Row],[Column1]]-RawDataGenPO[[#This Row],[Column14]]-RawDataGenPO[[#This Row],[Column13]]-RawDataGenPO[[#This Row],[Column12]]</f>
        <v>0</v>
      </c>
      <c r="V54" s="33" t="s">
        <v>268</v>
      </c>
      <c r="W54" s="44" t="s">
        <v>8</v>
      </c>
      <c r="X54" s="28" t="s">
        <v>485</v>
      </c>
      <c r="Y54" s="35">
        <v>46055</v>
      </c>
      <c r="Z54" s="45"/>
      <c r="AA54" s="46">
        <f>IF(RawDataGenPO[[#This Row],[Date Gen PO]]="","",RawDataGenPO[[#This Row],[Date recive bill]]-RawDataGenPO[[#This Row],[Date Gen PO]])</f>
        <v>47</v>
      </c>
      <c r="AB54" s="47" t="str">
        <f>IF(RawDataGenPO[[#This Row],[GRN-PO date]]&gt;RawDataGenPO[[#This Row],[Lead time delivery (day)]],"over deliverry","Ontime")</f>
        <v>Ontime</v>
      </c>
      <c r="AC54" s="56" t="s">
        <v>221</v>
      </c>
      <c r="AD54" s="48"/>
    </row>
    <row r="55" spans="1:30" ht="14.25" x14ac:dyDescent="0.3">
      <c r="A55" s="28">
        <f>ROW()-ROW(RawDataGenPO[[#Headers],[No.]])</f>
        <v>54</v>
      </c>
      <c r="B55" s="33" t="s">
        <v>14</v>
      </c>
      <c r="C55" s="30">
        <v>45986</v>
      </c>
      <c r="D55" s="28" t="s">
        <v>164</v>
      </c>
      <c r="E55" s="28" t="s">
        <v>342</v>
      </c>
      <c r="F55" s="37">
        <v>46008</v>
      </c>
      <c r="G55" s="38">
        <v>120</v>
      </c>
      <c r="H55" s="28" t="s">
        <v>40</v>
      </c>
      <c r="I55" s="28">
        <v>4</v>
      </c>
      <c r="J55" s="39" t="s">
        <v>168</v>
      </c>
      <c r="K55" s="43">
        <v>3</v>
      </c>
      <c r="L55" s="28" t="s">
        <v>156</v>
      </c>
      <c r="M55" s="41">
        <f t="shared" si="2"/>
        <v>3770</v>
      </c>
      <c r="N55" s="42">
        <v>11310</v>
      </c>
      <c r="O55" s="43"/>
      <c r="P55" s="59">
        <v>11310</v>
      </c>
      <c r="Q55" s="59"/>
      <c r="R55" s="59"/>
      <c r="S55" s="59"/>
      <c r="T55" s="59"/>
      <c r="U55" s="59">
        <f>RawDataGenPO[[#This Row],[Total price]]-RawDataGenPO[[#This Row],[Column1]]-RawDataGenPO[[#This Row],[Column14]]-RawDataGenPO[[#This Row],[Column13]]-RawDataGenPO[[#This Row],[Column12]]</f>
        <v>0</v>
      </c>
      <c r="V55" s="33" t="s">
        <v>268</v>
      </c>
      <c r="W55" s="44" t="s">
        <v>8</v>
      </c>
      <c r="X55" s="28" t="s">
        <v>485</v>
      </c>
      <c r="Y55" s="35">
        <v>46055</v>
      </c>
      <c r="Z55" s="45"/>
      <c r="AA55" s="46">
        <f>IF(RawDataGenPO[[#This Row],[Date Gen PO]]="","",RawDataGenPO[[#This Row],[Date recive bill]]-RawDataGenPO[[#This Row],[Date Gen PO]])</f>
        <v>47</v>
      </c>
      <c r="AB55" s="47" t="str">
        <f>IF(RawDataGenPO[[#This Row],[GRN-PO date]]&gt;RawDataGenPO[[#This Row],[Lead time delivery (day)]],"over deliverry","Ontime")</f>
        <v>Ontime</v>
      </c>
      <c r="AC55" s="56" t="s">
        <v>221</v>
      </c>
      <c r="AD55" s="48"/>
    </row>
    <row r="56" spans="1:30" ht="14.25" x14ac:dyDescent="0.3">
      <c r="A56" s="28">
        <f>ROW()-ROW(RawDataGenPO[[#Headers],[No.]])</f>
        <v>55</v>
      </c>
      <c r="B56" s="33" t="s">
        <v>14</v>
      </c>
      <c r="C56" s="30">
        <v>45986</v>
      </c>
      <c r="D56" s="28" t="s">
        <v>164</v>
      </c>
      <c r="E56" s="28" t="s">
        <v>343</v>
      </c>
      <c r="F56" s="37">
        <v>46008</v>
      </c>
      <c r="G56" s="38">
        <v>120</v>
      </c>
      <c r="H56" s="28" t="s">
        <v>40</v>
      </c>
      <c r="I56" s="28">
        <v>5</v>
      </c>
      <c r="J56" s="39" t="s">
        <v>169</v>
      </c>
      <c r="K56" s="43">
        <v>2</v>
      </c>
      <c r="L56" s="28" t="s">
        <v>156</v>
      </c>
      <c r="M56" s="41">
        <f t="shared" si="2"/>
        <v>3200</v>
      </c>
      <c r="N56" s="42">
        <v>6400</v>
      </c>
      <c r="O56" s="43"/>
      <c r="P56" s="59">
        <v>6400</v>
      </c>
      <c r="Q56" s="59"/>
      <c r="R56" s="59"/>
      <c r="S56" s="59"/>
      <c r="T56" s="59"/>
      <c r="U56" s="59">
        <f>RawDataGenPO[[#This Row],[Total price]]-RawDataGenPO[[#This Row],[Column1]]-RawDataGenPO[[#This Row],[Column14]]-RawDataGenPO[[#This Row],[Column13]]-RawDataGenPO[[#This Row],[Column12]]</f>
        <v>0</v>
      </c>
      <c r="V56" s="33" t="s">
        <v>344</v>
      </c>
      <c r="W56" s="44" t="s">
        <v>8</v>
      </c>
      <c r="X56" s="28" t="s">
        <v>562</v>
      </c>
      <c r="Y56" s="35">
        <v>46070</v>
      </c>
      <c r="Z56" s="45"/>
      <c r="AA56" s="46">
        <f>IF(RawDataGenPO[[#This Row],[Date Gen PO]]="","",RawDataGenPO[[#This Row],[Date recive bill]]-RawDataGenPO[[#This Row],[Date Gen PO]])</f>
        <v>62</v>
      </c>
      <c r="AB56" s="47" t="str">
        <f>IF(RawDataGenPO[[#This Row],[GRN-PO date]]&gt;RawDataGenPO[[#This Row],[Lead time delivery (day)]],"over deliverry","Ontime")</f>
        <v>Ontime</v>
      </c>
      <c r="AC56" s="56" t="s">
        <v>221</v>
      </c>
      <c r="AD56" s="48"/>
    </row>
    <row r="57" spans="1:30" ht="14.25" x14ac:dyDescent="0.3">
      <c r="A57" s="28">
        <f>ROW()-ROW(RawDataGenPO[[#Headers],[No.]])</f>
        <v>56</v>
      </c>
      <c r="B57" s="33" t="s">
        <v>14</v>
      </c>
      <c r="C57" s="30">
        <v>45986</v>
      </c>
      <c r="D57" s="28" t="s">
        <v>164</v>
      </c>
      <c r="E57" s="28" t="s">
        <v>345</v>
      </c>
      <c r="F57" s="37">
        <v>46008</v>
      </c>
      <c r="G57" s="38">
        <v>120</v>
      </c>
      <c r="H57" s="28" t="s">
        <v>40</v>
      </c>
      <c r="I57" s="28">
        <v>6</v>
      </c>
      <c r="J57" s="39" t="s">
        <v>170</v>
      </c>
      <c r="K57" s="43">
        <v>1</v>
      </c>
      <c r="L57" s="28" t="s">
        <v>156</v>
      </c>
      <c r="M57" s="41">
        <f t="shared" si="2"/>
        <v>10000</v>
      </c>
      <c r="N57" s="42">
        <v>10000</v>
      </c>
      <c r="O57" s="43"/>
      <c r="P57" s="43"/>
      <c r="Q57" s="43"/>
      <c r="R57" s="43"/>
      <c r="S57" s="43"/>
      <c r="T57" s="43"/>
      <c r="U57" s="43">
        <f>RawDataGenPO[[#This Row],[Total price]]-RawDataGenPO[[#This Row],[Column1]]-RawDataGenPO[[#This Row],[Column14]]-RawDataGenPO[[#This Row],[Column13]]-RawDataGenPO[[#This Row],[Column12]]</f>
        <v>10000</v>
      </c>
      <c r="V57" s="33" t="s">
        <v>346</v>
      </c>
      <c r="W57" s="44" t="s">
        <v>9</v>
      </c>
      <c r="Z57" s="45"/>
      <c r="AA57" s="46">
        <f>IF(RawDataGenPO[[#This Row],[Date Gen PO]]="","",RawDataGenPO[[#This Row],[Date recive bill]]-RawDataGenPO[[#This Row],[Date Gen PO]])</f>
        <v>-46008</v>
      </c>
      <c r="AB57" s="47" t="str">
        <f>IF(RawDataGenPO[[#This Row],[GRN-PO date]]&gt;RawDataGenPO[[#This Row],[Lead time delivery (day)]],"over deliverry","Ontime")</f>
        <v>Ontime</v>
      </c>
      <c r="AC57" s="56" t="s">
        <v>221</v>
      </c>
      <c r="AD57" s="48"/>
    </row>
    <row r="58" spans="1:30" ht="28.5" x14ac:dyDescent="0.3">
      <c r="A58" s="28">
        <f>ROW()-ROW(RawDataGenPO[[#Headers],[No.]])</f>
        <v>57</v>
      </c>
      <c r="B58" s="33" t="s">
        <v>14</v>
      </c>
      <c r="C58" s="30">
        <v>45986</v>
      </c>
      <c r="D58" s="28" t="s">
        <v>164</v>
      </c>
      <c r="E58" s="28" t="s">
        <v>347</v>
      </c>
      <c r="F58" s="37">
        <v>46015</v>
      </c>
      <c r="G58" s="38">
        <v>120</v>
      </c>
      <c r="H58" s="28" t="s">
        <v>40</v>
      </c>
      <c r="I58" s="28">
        <v>7</v>
      </c>
      <c r="J58" s="39" t="s">
        <v>171</v>
      </c>
      <c r="K58" s="43">
        <v>2</v>
      </c>
      <c r="L58" s="28" t="s">
        <v>156</v>
      </c>
      <c r="M58" s="41">
        <f t="shared" si="2"/>
        <v>4275</v>
      </c>
      <c r="N58" s="42">
        <v>8550</v>
      </c>
      <c r="O58" s="43"/>
      <c r="P58" s="43"/>
      <c r="Q58" s="43"/>
      <c r="R58" s="43"/>
      <c r="S58" s="43"/>
      <c r="T58" s="43"/>
      <c r="U58" s="43">
        <f>RawDataGenPO[[#This Row],[Total price]]-RawDataGenPO[[#This Row],[Column1]]-RawDataGenPO[[#This Row],[Column14]]-RawDataGenPO[[#This Row],[Column13]]-RawDataGenPO[[#This Row],[Column12]]</f>
        <v>8550</v>
      </c>
      <c r="V58" s="33" t="s">
        <v>348</v>
      </c>
      <c r="W58" s="44" t="s">
        <v>9</v>
      </c>
      <c r="Z58" s="45"/>
      <c r="AA58" s="46">
        <f>IF(RawDataGenPO[[#This Row],[Date Gen PO]]="","",RawDataGenPO[[#This Row],[Date recive bill]]-RawDataGenPO[[#This Row],[Date Gen PO]])</f>
        <v>-46015</v>
      </c>
      <c r="AB58" s="47" t="str">
        <f>IF(RawDataGenPO[[#This Row],[GRN-PO date]]&gt;RawDataGenPO[[#This Row],[Lead time delivery (day)]],"over deliverry","Ontime")</f>
        <v>Ontime</v>
      </c>
      <c r="AC58" s="56" t="s">
        <v>221</v>
      </c>
      <c r="AD58" s="48"/>
    </row>
    <row r="59" spans="1:30" ht="14.25" x14ac:dyDescent="0.3">
      <c r="A59" s="28">
        <f>ROW()-ROW(RawDataGenPO[[#Headers],[No.]])</f>
        <v>58</v>
      </c>
      <c r="B59" s="33" t="s">
        <v>14</v>
      </c>
      <c r="C59" s="30">
        <v>45986</v>
      </c>
      <c r="D59" s="28" t="s">
        <v>164</v>
      </c>
      <c r="E59" s="28" t="s">
        <v>349</v>
      </c>
      <c r="F59" s="37">
        <v>46008</v>
      </c>
      <c r="G59" s="38">
        <v>120</v>
      </c>
      <c r="H59" s="28" t="s">
        <v>40</v>
      </c>
      <c r="I59" s="28">
        <v>8</v>
      </c>
      <c r="J59" s="39" t="s">
        <v>172</v>
      </c>
      <c r="K59" s="43">
        <v>2</v>
      </c>
      <c r="L59" s="28" t="s">
        <v>156</v>
      </c>
      <c r="M59" s="41">
        <f t="shared" si="2"/>
        <v>17586.915000000001</v>
      </c>
      <c r="N59" s="42">
        <v>35173.83</v>
      </c>
      <c r="O59" s="43"/>
      <c r="P59" s="59">
        <v>35173.83</v>
      </c>
      <c r="Q59" s="59"/>
      <c r="R59" s="59"/>
      <c r="S59" s="59"/>
      <c r="T59" s="59"/>
      <c r="U59" s="59">
        <f>RawDataGenPO[[#This Row],[Total price]]-RawDataGenPO[[#This Row],[Column1]]-RawDataGenPO[[#This Row],[Column14]]-RawDataGenPO[[#This Row],[Column13]]-RawDataGenPO[[#This Row],[Column12]]</f>
        <v>0</v>
      </c>
      <c r="V59" s="33" t="s">
        <v>351</v>
      </c>
      <c r="W59" s="44" t="s">
        <v>8</v>
      </c>
      <c r="X59" s="28" t="s">
        <v>488</v>
      </c>
      <c r="Y59" s="35">
        <v>46055</v>
      </c>
      <c r="Z59" s="45"/>
      <c r="AA59" s="46">
        <f>IF(RawDataGenPO[[#This Row],[Date Gen PO]]="","",RawDataGenPO[[#This Row],[Date recive bill]]-RawDataGenPO[[#This Row],[Date Gen PO]])</f>
        <v>47</v>
      </c>
      <c r="AB59" s="47" t="str">
        <f>IF(RawDataGenPO[[#This Row],[GRN-PO date]]&gt;RawDataGenPO[[#This Row],[Lead time delivery (day)]],"over deliverry","Ontime")</f>
        <v>Ontime</v>
      </c>
      <c r="AC59" s="56" t="s">
        <v>221</v>
      </c>
      <c r="AD59" s="48"/>
    </row>
    <row r="60" spans="1:30" ht="14.25" x14ac:dyDescent="0.3">
      <c r="A60" s="28">
        <f>ROW()-ROW(RawDataGenPO[[#Headers],[No.]])</f>
        <v>59</v>
      </c>
      <c r="B60" s="33" t="s">
        <v>14</v>
      </c>
      <c r="C60" s="30">
        <v>45986</v>
      </c>
      <c r="D60" s="28" t="s">
        <v>164</v>
      </c>
      <c r="E60" s="28" t="s">
        <v>352</v>
      </c>
      <c r="F60" s="37">
        <v>46008</v>
      </c>
      <c r="G60" s="38">
        <v>120</v>
      </c>
      <c r="H60" s="28" t="s">
        <v>40</v>
      </c>
      <c r="I60" s="28">
        <v>9</v>
      </c>
      <c r="J60" s="39" t="s">
        <v>173</v>
      </c>
      <c r="K60" s="43">
        <v>2</v>
      </c>
      <c r="L60" s="28" t="s">
        <v>156</v>
      </c>
      <c r="M60" s="41">
        <f t="shared" si="2"/>
        <v>19300</v>
      </c>
      <c r="N60" s="42">
        <v>38600</v>
      </c>
      <c r="O60" s="43"/>
      <c r="P60" s="43"/>
      <c r="Q60" s="43"/>
      <c r="R60" s="43"/>
      <c r="S60" s="43"/>
      <c r="T60" s="43"/>
      <c r="U60" s="43">
        <f>RawDataGenPO[[#This Row],[Total price]]-RawDataGenPO[[#This Row],[Column1]]-RawDataGenPO[[#This Row],[Column14]]-RawDataGenPO[[#This Row],[Column13]]-RawDataGenPO[[#This Row],[Column12]]</f>
        <v>38600</v>
      </c>
      <c r="V60" s="33" t="s">
        <v>354</v>
      </c>
      <c r="W60" s="44" t="s">
        <v>9</v>
      </c>
      <c r="Z60" s="45"/>
      <c r="AA60" s="46">
        <f>IF(RawDataGenPO[[#This Row],[Date Gen PO]]="","",RawDataGenPO[[#This Row],[Date recive bill]]-RawDataGenPO[[#This Row],[Date Gen PO]])</f>
        <v>-46008</v>
      </c>
      <c r="AB60" s="47" t="str">
        <f>IF(RawDataGenPO[[#This Row],[GRN-PO date]]&gt;RawDataGenPO[[#This Row],[Lead time delivery (day)]],"over deliverry","Ontime")</f>
        <v>Ontime</v>
      </c>
      <c r="AC60" s="56" t="s">
        <v>221</v>
      </c>
      <c r="AD60" s="48"/>
    </row>
    <row r="61" spans="1:30" ht="14.25" x14ac:dyDescent="0.3">
      <c r="A61" s="28">
        <f>ROW()-ROW(RawDataGenPO[[#Headers],[No.]])</f>
        <v>60</v>
      </c>
      <c r="B61" s="33" t="s">
        <v>95</v>
      </c>
      <c r="C61" s="30">
        <v>45986</v>
      </c>
      <c r="D61" s="28" t="s">
        <v>174</v>
      </c>
      <c r="E61" s="28" t="s">
        <v>355</v>
      </c>
      <c r="F61" s="37">
        <v>46015</v>
      </c>
      <c r="G61" s="38">
        <v>120</v>
      </c>
      <c r="H61" s="28" t="s">
        <v>37</v>
      </c>
      <c r="I61" s="28">
        <v>1</v>
      </c>
      <c r="J61" s="39" t="s">
        <v>175</v>
      </c>
      <c r="K61" s="43">
        <v>2</v>
      </c>
      <c r="L61" s="28" t="s">
        <v>38</v>
      </c>
      <c r="M61" s="41">
        <f t="shared" si="2"/>
        <v>345</v>
      </c>
      <c r="N61" s="61">
        <v>690</v>
      </c>
      <c r="O61" s="59"/>
      <c r="P61" s="59">
        <v>690</v>
      </c>
      <c r="Q61" s="59"/>
      <c r="R61" s="59"/>
      <c r="S61" s="59"/>
      <c r="T61" s="59"/>
      <c r="U61" s="59">
        <f>RawDataGenPO[[#This Row],[Total price]]-RawDataGenPO[[#This Row],[Column1]]-RawDataGenPO[[#This Row],[Column14]]-RawDataGenPO[[#This Row],[Column13]]-RawDataGenPO[[#This Row],[Column12]]</f>
        <v>0</v>
      </c>
      <c r="V61" s="33" t="s">
        <v>356</v>
      </c>
      <c r="W61" s="44" t="s">
        <v>8</v>
      </c>
      <c r="X61" s="28" t="s">
        <v>484</v>
      </c>
      <c r="Y61" s="35">
        <v>46055</v>
      </c>
      <c r="Z61" s="45"/>
      <c r="AA61" s="46">
        <f>IF(RawDataGenPO[[#This Row],[Date Gen PO]]="","",RawDataGenPO[[#This Row],[Date recive bill]]-RawDataGenPO[[#This Row],[Date Gen PO]])</f>
        <v>40</v>
      </c>
      <c r="AB61" s="47" t="str">
        <f>IF(RawDataGenPO[[#This Row],[GRN-PO date]]&gt;RawDataGenPO[[#This Row],[Lead time delivery (day)]],"over deliverry","Ontime")</f>
        <v>Ontime</v>
      </c>
      <c r="AC61" s="56" t="s">
        <v>221</v>
      </c>
      <c r="AD61" s="48"/>
    </row>
    <row r="62" spans="1:30" ht="14.25" x14ac:dyDescent="0.3">
      <c r="A62" s="28">
        <f>ROW()-ROW(RawDataGenPO[[#Headers],[No.]])</f>
        <v>61</v>
      </c>
      <c r="B62" s="33" t="s">
        <v>95</v>
      </c>
      <c r="C62" s="30">
        <v>45986</v>
      </c>
      <c r="D62" s="28" t="s">
        <v>174</v>
      </c>
      <c r="E62" s="28" t="s">
        <v>355</v>
      </c>
      <c r="F62" s="37">
        <v>46015</v>
      </c>
      <c r="G62" s="38">
        <v>120</v>
      </c>
      <c r="H62" s="28" t="s">
        <v>37</v>
      </c>
      <c r="I62" s="28">
        <v>2</v>
      </c>
      <c r="J62" s="39" t="s">
        <v>176</v>
      </c>
      <c r="K62" s="43">
        <v>2</v>
      </c>
      <c r="L62" s="28" t="s">
        <v>38</v>
      </c>
      <c r="M62" s="41">
        <f t="shared" si="2"/>
        <v>540</v>
      </c>
      <c r="N62" s="61">
        <v>1080</v>
      </c>
      <c r="O62" s="59"/>
      <c r="P62" s="59">
        <v>1080</v>
      </c>
      <c r="Q62" s="59"/>
      <c r="R62" s="59"/>
      <c r="S62" s="59"/>
      <c r="T62" s="59"/>
      <c r="U62" s="59">
        <f>RawDataGenPO[[#This Row],[Total price]]-RawDataGenPO[[#This Row],[Column1]]-RawDataGenPO[[#This Row],[Column14]]-RawDataGenPO[[#This Row],[Column13]]-RawDataGenPO[[#This Row],[Column12]]</f>
        <v>0</v>
      </c>
      <c r="V62" s="33" t="s">
        <v>356</v>
      </c>
      <c r="W62" s="44" t="s">
        <v>8</v>
      </c>
      <c r="X62" s="28" t="s">
        <v>484</v>
      </c>
      <c r="Y62" s="35">
        <v>46055</v>
      </c>
      <c r="Z62" s="45"/>
      <c r="AA62" s="46">
        <f>IF(RawDataGenPO[[#This Row],[Date Gen PO]]="","",RawDataGenPO[[#This Row],[Date recive bill]]-RawDataGenPO[[#This Row],[Date Gen PO]])</f>
        <v>40</v>
      </c>
      <c r="AB62" s="47" t="str">
        <f>IF(RawDataGenPO[[#This Row],[GRN-PO date]]&gt;RawDataGenPO[[#This Row],[Lead time delivery (day)]],"over deliverry","Ontime")</f>
        <v>Ontime</v>
      </c>
      <c r="AC62" s="56" t="s">
        <v>221</v>
      </c>
      <c r="AD62" s="48"/>
    </row>
    <row r="63" spans="1:30" ht="14.25" x14ac:dyDescent="0.3">
      <c r="A63" s="28">
        <f>ROW()-ROW(RawDataGenPO[[#Headers],[No.]])</f>
        <v>62</v>
      </c>
      <c r="B63" s="33" t="s">
        <v>95</v>
      </c>
      <c r="C63" s="30">
        <v>45986</v>
      </c>
      <c r="D63" s="28" t="s">
        <v>174</v>
      </c>
      <c r="E63" s="28" t="s">
        <v>350</v>
      </c>
      <c r="F63" s="37">
        <v>46008</v>
      </c>
      <c r="G63" s="38">
        <v>120</v>
      </c>
      <c r="H63" s="28" t="s">
        <v>37</v>
      </c>
      <c r="I63" s="28">
        <v>3</v>
      </c>
      <c r="J63" s="39" t="s">
        <v>177</v>
      </c>
      <c r="K63" s="43">
        <v>1</v>
      </c>
      <c r="L63" s="28" t="s">
        <v>38</v>
      </c>
      <c r="M63" s="41">
        <f t="shared" si="2"/>
        <v>1800</v>
      </c>
      <c r="N63" s="42">
        <v>1800</v>
      </c>
      <c r="O63" s="43"/>
      <c r="P63" s="43"/>
      <c r="Q63" s="43"/>
      <c r="R63" s="43"/>
      <c r="S63" s="43"/>
      <c r="T63" s="43"/>
      <c r="U63" s="43">
        <f>RawDataGenPO[[#This Row],[Total price]]-RawDataGenPO[[#This Row],[Column1]]-RawDataGenPO[[#This Row],[Column14]]-RawDataGenPO[[#This Row],[Column13]]-RawDataGenPO[[#This Row],[Column12]]</f>
        <v>1800</v>
      </c>
      <c r="V63" s="33" t="s">
        <v>346</v>
      </c>
      <c r="W63" s="44" t="s">
        <v>9</v>
      </c>
      <c r="Z63" s="45"/>
      <c r="AA63" s="46">
        <f>IF(RawDataGenPO[[#This Row],[Date Gen PO]]="","",RawDataGenPO[[#This Row],[Date recive bill]]-RawDataGenPO[[#This Row],[Date Gen PO]])</f>
        <v>-46008</v>
      </c>
      <c r="AB63" s="47" t="str">
        <f>IF(RawDataGenPO[[#This Row],[GRN-PO date]]&gt;RawDataGenPO[[#This Row],[Lead time delivery (day)]],"over deliverry","Ontime")</f>
        <v>Ontime</v>
      </c>
      <c r="AC63" s="56" t="s">
        <v>221</v>
      </c>
      <c r="AD63" s="48"/>
    </row>
    <row r="64" spans="1:30" ht="14.25" x14ac:dyDescent="0.3">
      <c r="A64" s="28">
        <f>ROW()-ROW(RawDataGenPO[[#Headers],[No.]])</f>
        <v>63</v>
      </c>
      <c r="B64" s="33" t="s">
        <v>95</v>
      </c>
      <c r="C64" s="30">
        <v>45986</v>
      </c>
      <c r="D64" s="28" t="s">
        <v>174</v>
      </c>
      <c r="E64" s="28" t="s">
        <v>449</v>
      </c>
      <c r="F64" s="37">
        <v>46030</v>
      </c>
      <c r="G64" s="38">
        <v>120</v>
      </c>
      <c r="H64" s="28" t="s">
        <v>37</v>
      </c>
      <c r="I64" s="28">
        <v>4</v>
      </c>
      <c r="J64" s="39" t="s">
        <v>178</v>
      </c>
      <c r="K64" s="43">
        <v>1</v>
      </c>
      <c r="L64" s="28" t="s">
        <v>38</v>
      </c>
      <c r="M64" s="41">
        <f t="shared" si="2"/>
        <v>475</v>
      </c>
      <c r="N64" s="42">
        <v>475</v>
      </c>
      <c r="O64" s="43"/>
      <c r="P64" s="43"/>
      <c r="Q64" s="43"/>
      <c r="R64" s="43"/>
      <c r="S64" s="43"/>
      <c r="T64" s="43"/>
      <c r="U64" s="43">
        <f>RawDataGenPO[[#This Row],[Total price]]-RawDataGenPO[[#This Row],[Column1]]-RawDataGenPO[[#This Row],[Column14]]-RawDataGenPO[[#This Row],[Column13]]-RawDataGenPO[[#This Row],[Column12]]</f>
        <v>475</v>
      </c>
      <c r="V64" s="33" t="s">
        <v>450</v>
      </c>
      <c r="W64" s="44" t="s">
        <v>9</v>
      </c>
      <c r="Z64" s="45"/>
      <c r="AA64" s="46">
        <f>IF(RawDataGenPO[[#This Row],[Date Gen PO]]="","",RawDataGenPO[[#This Row],[Date recive bill]]-RawDataGenPO[[#This Row],[Date Gen PO]])</f>
        <v>-46030</v>
      </c>
      <c r="AB64" s="47" t="str">
        <f>IF(RawDataGenPO[[#This Row],[GRN-PO date]]&gt;RawDataGenPO[[#This Row],[Lead time delivery (day)]],"over deliverry","Ontime")</f>
        <v>Ontime</v>
      </c>
      <c r="AC64" s="56" t="s">
        <v>221</v>
      </c>
      <c r="AD64" s="48"/>
    </row>
    <row r="65" spans="1:30" ht="14.25" x14ac:dyDescent="0.3">
      <c r="A65" s="28">
        <f>ROW()-ROW(RawDataGenPO[[#Headers],[No.]])</f>
        <v>64</v>
      </c>
      <c r="B65" s="33" t="s">
        <v>95</v>
      </c>
      <c r="C65" s="30">
        <v>45986</v>
      </c>
      <c r="D65" s="28" t="s">
        <v>174</v>
      </c>
      <c r="E65" s="28" t="s">
        <v>449</v>
      </c>
      <c r="F65" s="37">
        <v>46030</v>
      </c>
      <c r="G65" s="38">
        <v>120</v>
      </c>
      <c r="H65" s="28" t="s">
        <v>37</v>
      </c>
      <c r="I65" s="28">
        <v>5</v>
      </c>
      <c r="J65" s="39" t="s">
        <v>179</v>
      </c>
      <c r="K65" s="43">
        <v>1</v>
      </c>
      <c r="L65" s="28" t="s">
        <v>38</v>
      </c>
      <c r="M65" s="41">
        <f t="shared" si="2"/>
        <v>2607</v>
      </c>
      <c r="N65" s="42">
        <v>2607</v>
      </c>
      <c r="O65" s="43"/>
      <c r="P65" s="43"/>
      <c r="Q65" s="43"/>
      <c r="R65" s="43"/>
      <c r="S65" s="43"/>
      <c r="T65" s="43"/>
      <c r="U65" s="43">
        <f>RawDataGenPO[[#This Row],[Total price]]-RawDataGenPO[[#This Row],[Column1]]-RawDataGenPO[[#This Row],[Column14]]-RawDataGenPO[[#This Row],[Column13]]-RawDataGenPO[[#This Row],[Column12]]</f>
        <v>2607</v>
      </c>
      <c r="V65" s="33" t="s">
        <v>450</v>
      </c>
      <c r="W65" s="44" t="s">
        <v>9</v>
      </c>
      <c r="Z65" s="45"/>
      <c r="AA65" s="46">
        <f>IF(RawDataGenPO[[#This Row],[Date Gen PO]]="","",RawDataGenPO[[#This Row],[Date recive bill]]-RawDataGenPO[[#This Row],[Date Gen PO]])</f>
        <v>-46030</v>
      </c>
      <c r="AB65" s="47" t="str">
        <f>IF(RawDataGenPO[[#This Row],[GRN-PO date]]&gt;RawDataGenPO[[#This Row],[Lead time delivery (day)]],"over deliverry","Ontime")</f>
        <v>Ontime</v>
      </c>
      <c r="AC65" s="56" t="s">
        <v>221</v>
      </c>
      <c r="AD65" s="48"/>
    </row>
    <row r="66" spans="1:30" ht="14.25" x14ac:dyDescent="0.3">
      <c r="A66" s="28">
        <f>ROW()-ROW(RawDataGenPO[[#Headers],[No.]])</f>
        <v>65</v>
      </c>
      <c r="B66" s="33" t="s">
        <v>95</v>
      </c>
      <c r="C66" s="30">
        <v>45986</v>
      </c>
      <c r="D66" s="28" t="s">
        <v>174</v>
      </c>
      <c r="E66" s="28" t="s">
        <v>451</v>
      </c>
      <c r="F66" s="37">
        <v>46008</v>
      </c>
      <c r="G66" s="38">
        <v>120</v>
      </c>
      <c r="H66" s="28" t="s">
        <v>37</v>
      </c>
      <c r="I66" s="28">
        <v>6</v>
      </c>
      <c r="J66" s="39" t="s">
        <v>180</v>
      </c>
      <c r="K66" s="43">
        <v>100</v>
      </c>
      <c r="L66" s="28" t="s">
        <v>38</v>
      </c>
      <c r="M66" s="41">
        <f t="shared" si="2"/>
        <v>1225</v>
      </c>
      <c r="N66" s="42">
        <v>122500</v>
      </c>
      <c r="O66" s="43"/>
      <c r="P66" s="43">
        <v>60025</v>
      </c>
      <c r="Q66" s="43"/>
      <c r="R66" s="43"/>
      <c r="S66" s="43"/>
      <c r="T66" s="43"/>
      <c r="U66" s="43">
        <f>RawDataGenPO[[#This Row],[Total price]]-RawDataGenPO[[#This Row],[Column1]]-RawDataGenPO[[#This Row],[Column14]]-RawDataGenPO[[#This Row],[Column13]]-RawDataGenPO[[#This Row],[Column12]]</f>
        <v>62475</v>
      </c>
      <c r="V66" s="33" t="s">
        <v>452</v>
      </c>
      <c r="W66" s="44" t="s">
        <v>8</v>
      </c>
      <c r="X66" s="28" t="s">
        <v>453</v>
      </c>
      <c r="Y66" s="35">
        <v>46028</v>
      </c>
      <c r="Z66" s="45"/>
      <c r="AA66" s="46">
        <f>IF(RawDataGenPO[[#This Row],[Date Gen PO]]="","",RawDataGenPO[[#This Row],[Date recive bill]]-RawDataGenPO[[#This Row],[Date Gen PO]])</f>
        <v>20</v>
      </c>
      <c r="AB66" s="47" t="str">
        <f>IF(RawDataGenPO[[#This Row],[GRN-PO date]]&gt;RawDataGenPO[[#This Row],[Lead time delivery (day)]],"over deliverry","Ontime")</f>
        <v>Ontime</v>
      </c>
      <c r="AC66" s="56" t="s">
        <v>221</v>
      </c>
      <c r="AD66" s="48"/>
    </row>
    <row r="67" spans="1:30" ht="14.25" x14ac:dyDescent="0.3">
      <c r="A67" s="28">
        <f>ROW()-ROW(RawDataGenPO[[#Headers],[No.]])</f>
        <v>66</v>
      </c>
      <c r="B67" s="33" t="s">
        <v>14</v>
      </c>
      <c r="C67" s="30">
        <v>45986</v>
      </c>
      <c r="D67" s="28" t="s">
        <v>181</v>
      </c>
      <c r="E67" s="28" t="s">
        <v>357</v>
      </c>
      <c r="F67" s="37">
        <v>46007</v>
      </c>
      <c r="G67" s="38">
        <v>120</v>
      </c>
      <c r="H67" s="28" t="s">
        <v>40</v>
      </c>
      <c r="I67" s="28">
        <v>1</v>
      </c>
      <c r="J67" s="39" t="s">
        <v>182</v>
      </c>
      <c r="K67" s="43">
        <v>6</v>
      </c>
      <c r="L67" s="28" t="s">
        <v>156</v>
      </c>
      <c r="M67" s="41">
        <f t="shared" si="2"/>
        <v>5450</v>
      </c>
      <c r="N67" s="42">
        <v>32700</v>
      </c>
      <c r="O67" s="43"/>
      <c r="P67" s="59">
        <v>32700</v>
      </c>
      <c r="Q67" s="59"/>
      <c r="R67" s="59"/>
      <c r="S67" s="59"/>
      <c r="T67" s="59"/>
      <c r="U67" s="59">
        <f>RawDataGenPO[[#This Row],[Total price]]-RawDataGenPO[[#This Row],[Column1]]-RawDataGenPO[[#This Row],[Column14]]-RawDataGenPO[[#This Row],[Column13]]-RawDataGenPO[[#This Row],[Column12]]</f>
        <v>0</v>
      </c>
      <c r="V67" s="33" t="s">
        <v>270</v>
      </c>
      <c r="W67" s="44" t="s">
        <v>8</v>
      </c>
      <c r="X67" s="28" t="s">
        <v>391</v>
      </c>
      <c r="Y67" s="35">
        <v>46028</v>
      </c>
      <c r="Z67" s="45"/>
      <c r="AA67" s="46">
        <f>IF(RawDataGenPO[[#This Row],[Date Gen PO]]="","",RawDataGenPO[[#This Row],[Date recive bill]]-RawDataGenPO[[#This Row],[Date Gen PO]])</f>
        <v>21</v>
      </c>
      <c r="AB67" s="47" t="str">
        <f>IF(RawDataGenPO[[#This Row],[GRN-PO date]]&gt;RawDataGenPO[[#This Row],[Lead time delivery (day)]],"over deliverry","Ontime")</f>
        <v>Ontime</v>
      </c>
      <c r="AC67" s="56" t="s">
        <v>222</v>
      </c>
      <c r="AD67" s="48"/>
    </row>
    <row r="68" spans="1:30" ht="14.25" x14ac:dyDescent="0.3">
      <c r="A68" s="28">
        <f>ROW()-ROW(RawDataGenPO[[#Headers],[No.]])</f>
        <v>67</v>
      </c>
      <c r="B68" s="33" t="s">
        <v>14</v>
      </c>
      <c r="C68" s="30">
        <v>45986</v>
      </c>
      <c r="D68" s="28" t="s">
        <v>181</v>
      </c>
      <c r="E68" s="28" t="s">
        <v>357</v>
      </c>
      <c r="F68" s="37">
        <v>46007</v>
      </c>
      <c r="G68" s="38">
        <v>120</v>
      </c>
      <c r="H68" s="28" t="s">
        <v>40</v>
      </c>
      <c r="I68" s="28">
        <v>2</v>
      </c>
      <c r="J68" s="39" t="s">
        <v>183</v>
      </c>
      <c r="K68" s="43">
        <v>2</v>
      </c>
      <c r="L68" s="28" t="s">
        <v>156</v>
      </c>
      <c r="M68" s="41">
        <f t="shared" si="2"/>
        <v>6600</v>
      </c>
      <c r="N68" s="42">
        <v>13200</v>
      </c>
      <c r="O68" s="43"/>
      <c r="P68" s="59">
        <v>13200</v>
      </c>
      <c r="Q68" s="59"/>
      <c r="R68" s="59"/>
      <c r="S68" s="59"/>
      <c r="T68" s="59"/>
      <c r="U68" s="59">
        <f>RawDataGenPO[[#This Row],[Total price]]-RawDataGenPO[[#This Row],[Column1]]-RawDataGenPO[[#This Row],[Column14]]-RawDataGenPO[[#This Row],[Column13]]-RawDataGenPO[[#This Row],[Column12]]</f>
        <v>0</v>
      </c>
      <c r="V68" s="33" t="s">
        <v>270</v>
      </c>
      <c r="W68" s="44" t="s">
        <v>8</v>
      </c>
      <c r="X68" s="28" t="s">
        <v>391</v>
      </c>
      <c r="Y68" s="35">
        <v>46028</v>
      </c>
      <c r="Z68" s="45"/>
      <c r="AA68" s="46">
        <f>IF(RawDataGenPO[[#This Row],[Date Gen PO]]="","",RawDataGenPO[[#This Row],[Date recive bill]]-RawDataGenPO[[#This Row],[Date Gen PO]])</f>
        <v>21</v>
      </c>
      <c r="AB68" s="47" t="str">
        <f>IF(RawDataGenPO[[#This Row],[GRN-PO date]]&gt;RawDataGenPO[[#This Row],[Lead time delivery (day)]],"over deliverry","Ontime")</f>
        <v>Ontime</v>
      </c>
      <c r="AC68" s="56" t="s">
        <v>222</v>
      </c>
      <c r="AD68" s="48"/>
    </row>
    <row r="69" spans="1:30" ht="14.25" x14ac:dyDescent="0.3">
      <c r="A69" s="28">
        <f>ROW()-ROW(RawDataGenPO[[#Headers],[No.]])</f>
        <v>68</v>
      </c>
      <c r="B69" s="33" t="s">
        <v>14</v>
      </c>
      <c r="C69" s="30">
        <v>45986</v>
      </c>
      <c r="D69" s="28" t="s">
        <v>181</v>
      </c>
      <c r="E69" s="28" t="s">
        <v>359</v>
      </c>
      <c r="F69" s="37">
        <v>46007</v>
      </c>
      <c r="G69" s="38">
        <v>120</v>
      </c>
      <c r="H69" s="28" t="s">
        <v>40</v>
      </c>
      <c r="I69" s="28">
        <v>3</v>
      </c>
      <c r="J69" s="39" t="s">
        <v>361</v>
      </c>
      <c r="K69" s="43">
        <v>4</v>
      </c>
      <c r="L69" s="28" t="s">
        <v>156</v>
      </c>
      <c r="M69" s="41">
        <f t="shared" si="2"/>
        <v>30000</v>
      </c>
      <c r="N69" s="42">
        <v>120000</v>
      </c>
      <c r="O69" s="43"/>
      <c r="P69" s="59">
        <v>120000</v>
      </c>
      <c r="Q69" s="59"/>
      <c r="R69" s="59"/>
      <c r="S69" s="59"/>
      <c r="T69" s="59"/>
      <c r="U69" s="59">
        <f>RawDataGenPO[[#This Row],[Total price]]-RawDataGenPO[[#This Row],[Column1]]-RawDataGenPO[[#This Row],[Column14]]-RawDataGenPO[[#This Row],[Column13]]-RawDataGenPO[[#This Row],[Column12]]</f>
        <v>0</v>
      </c>
      <c r="V69" s="33" t="s">
        <v>360</v>
      </c>
      <c r="W69" s="44" t="s">
        <v>8</v>
      </c>
      <c r="X69" s="28" t="s">
        <v>406</v>
      </c>
      <c r="Y69" s="35">
        <v>46039</v>
      </c>
      <c r="Z69" s="45"/>
      <c r="AA69" s="46">
        <f>IF(RawDataGenPO[[#This Row],[Date Gen PO]]="","",RawDataGenPO[[#This Row],[Date recive bill]]-RawDataGenPO[[#This Row],[Date Gen PO]])</f>
        <v>32</v>
      </c>
      <c r="AB69" s="47" t="str">
        <f>IF(RawDataGenPO[[#This Row],[GRN-PO date]]&gt;RawDataGenPO[[#This Row],[Lead time delivery (day)]],"over deliverry","Ontime")</f>
        <v>Ontime</v>
      </c>
      <c r="AC69" s="56" t="s">
        <v>222</v>
      </c>
      <c r="AD69" s="48"/>
    </row>
    <row r="70" spans="1:30" ht="14.25" x14ac:dyDescent="0.3">
      <c r="A70" s="28">
        <f>ROW()-ROW(RawDataGenPO[[#Headers],[No.]])</f>
        <v>69</v>
      </c>
      <c r="B70" s="33" t="s">
        <v>14</v>
      </c>
      <c r="C70" s="30">
        <v>45986</v>
      </c>
      <c r="D70" s="28" t="s">
        <v>181</v>
      </c>
      <c r="E70" s="28" t="s">
        <v>362</v>
      </c>
      <c r="F70" s="37">
        <v>46008</v>
      </c>
      <c r="G70" s="38">
        <v>120</v>
      </c>
      <c r="H70" s="28" t="s">
        <v>40</v>
      </c>
      <c r="I70" s="28">
        <v>4</v>
      </c>
      <c r="J70" s="39" t="s">
        <v>184</v>
      </c>
      <c r="K70" s="43">
        <v>1</v>
      </c>
      <c r="L70" s="28" t="s">
        <v>156</v>
      </c>
      <c r="M70" s="41">
        <f t="shared" ref="M70:M101" si="3">N70/K70</f>
        <v>4950</v>
      </c>
      <c r="N70" s="42">
        <v>4950</v>
      </c>
      <c r="O70" s="43"/>
      <c r="P70" s="59">
        <v>4950</v>
      </c>
      <c r="Q70" s="59"/>
      <c r="R70" s="59"/>
      <c r="S70" s="59"/>
      <c r="T70" s="59"/>
      <c r="U70" s="59">
        <f>RawDataGenPO[[#This Row],[Total price]]-RawDataGenPO[[#This Row],[Column1]]-RawDataGenPO[[#This Row],[Column14]]-RawDataGenPO[[#This Row],[Column13]]-RawDataGenPO[[#This Row],[Column12]]</f>
        <v>0</v>
      </c>
      <c r="V70" s="33" t="s">
        <v>268</v>
      </c>
      <c r="W70" s="44" t="s">
        <v>8</v>
      </c>
      <c r="X70" s="28" t="s">
        <v>486</v>
      </c>
      <c r="Y70" s="35">
        <v>46055</v>
      </c>
      <c r="Z70" s="45"/>
      <c r="AA70" s="46">
        <f>IF(RawDataGenPO[[#This Row],[Date Gen PO]]="","",RawDataGenPO[[#This Row],[Date recive bill]]-RawDataGenPO[[#This Row],[Date Gen PO]])</f>
        <v>47</v>
      </c>
      <c r="AB70" s="47" t="str">
        <f>IF(RawDataGenPO[[#This Row],[GRN-PO date]]&gt;RawDataGenPO[[#This Row],[Lead time delivery (day)]],"over deliverry","Ontime")</f>
        <v>Ontime</v>
      </c>
      <c r="AC70" s="56" t="s">
        <v>222</v>
      </c>
      <c r="AD70" s="48"/>
    </row>
    <row r="71" spans="1:30" ht="14.25" x14ac:dyDescent="0.3">
      <c r="A71" s="28">
        <f>ROW()-ROW(RawDataGenPO[[#Headers],[No.]])</f>
        <v>70</v>
      </c>
      <c r="B71" s="33" t="s">
        <v>14</v>
      </c>
      <c r="C71" s="30">
        <v>45986</v>
      </c>
      <c r="D71" s="28" t="s">
        <v>181</v>
      </c>
      <c r="E71" s="28" t="s">
        <v>362</v>
      </c>
      <c r="F71" s="37">
        <v>46008</v>
      </c>
      <c r="G71" s="38">
        <v>120</v>
      </c>
      <c r="H71" s="28" t="s">
        <v>40</v>
      </c>
      <c r="I71" s="28">
        <v>5</v>
      </c>
      <c r="J71" s="39" t="s">
        <v>185</v>
      </c>
      <c r="K71" s="43">
        <v>1</v>
      </c>
      <c r="L71" s="28" t="s">
        <v>156</v>
      </c>
      <c r="M71" s="41">
        <f t="shared" si="3"/>
        <v>7250</v>
      </c>
      <c r="N71" s="42">
        <v>7250</v>
      </c>
      <c r="O71" s="43"/>
      <c r="P71" s="59">
        <v>7250</v>
      </c>
      <c r="Q71" s="59"/>
      <c r="R71" s="59"/>
      <c r="S71" s="59"/>
      <c r="T71" s="59"/>
      <c r="U71" s="59">
        <f>RawDataGenPO[[#This Row],[Total price]]-RawDataGenPO[[#This Row],[Column1]]-RawDataGenPO[[#This Row],[Column14]]-RawDataGenPO[[#This Row],[Column13]]-RawDataGenPO[[#This Row],[Column12]]</f>
        <v>0</v>
      </c>
      <c r="V71" s="33" t="s">
        <v>268</v>
      </c>
      <c r="W71" s="44" t="s">
        <v>8</v>
      </c>
      <c r="X71" s="28" t="s">
        <v>486</v>
      </c>
      <c r="Y71" s="35">
        <v>46055</v>
      </c>
      <c r="Z71" s="45"/>
      <c r="AA71" s="46">
        <f>IF(RawDataGenPO[[#This Row],[Date Gen PO]]="","",RawDataGenPO[[#This Row],[Date recive bill]]-RawDataGenPO[[#This Row],[Date Gen PO]])</f>
        <v>47</v>
      </c>
      <c r="AB71" s="47" t="str">
        <f>IF(RawDataGenPO[[#This Row],[GRN-PO date]]&gt;RawDataGenPO[[#This Row],[Lead time delivery (day)]],"over deliverry","Ontime")</f>
        <v>Ontime</v>
      </c>
      <c r="AC71" s="56" t="s">
        <v>222</v>
      </c>
      <c r="AD71" s="48"/>
    </row>
    <row r="72" spans="1:30" ht="14.25" x14ac:dyDescent="0.3">
      <c r="A72" s="28">
        <f>ROW()-ROW(RawDataGenPO[[#Headers],[No.]])</f>
        <v>71</v>
      </c>
      <c r="B72" s="33" t="s">
        <v>14</v>
      </c>
      <c r="C72" s="30">
        <v>45986</v>
      </c>
      <c r="D72" s="28" t="s">
        <v>181</v>
      </c>
      <c r="E72" s="28" t="s">
        <v>362</v>
      </c>
      <c r="F72" s="37">
        <v>46008</v>
      </c>
      <c r="G72" s="38">
        <v>120</v>
      </c>
      <c r="H72" s="28" t="s">
        <v>40</v>
      </c>
      <c r="I72" s="28">
        <v>6</v>
      </c>
      <c r="J72" s="39" t="s">
        <v>186</v>
      </c>
      <c r="K72" s="43">
        <v>5</v>
      </c>
      <c r="L72" s="28" t="s">
        <v>156</v>
      </c>
      <c r="M72" s="41">
        <f t="shared" si="3"/>
        <v>18900</v>
      </c>
      <c r="N72" s="42">
        <v>94500</v>
      </c>
      <c r="O72" s="43"/>
      <c r="P72" s="59">
        <v>94500</v>
      </c>
      <c r="Q72" s="59"/>
      <c r="R72" s="59"/>
      <c r="S72" s="59"/>
      <c r="T72" s="59"/>
      <c r="U72" s="59">
        <f>RawDataGenPO[[#This Row],[Total price]]-RawDataGenPO[[#This Row],[Column1]]-RawDataGenPO[[#This Row],[Column14]]-RawDataGenPO[[#This Row],[Column13]]-RawDataGenPO[[#This Row],[Column12]]</f>
        <v>0</v>
      </c>
      <c r="V72" s="33" t="s">
        <v>268</v>
      </c>
      <c r="W72" s="44" t="s">
        <v>8</v>
      </c>
      <c r="X72" s="28" t="s">
        <v>486</v>
      </c>
      <c r="Y72" s="35">
        <v>46055</v>
      </c>
      <c r="Z72" s="45"/>
      <c r="AA72" s="46">
        <f>IF(RawDataGenPO[[#This Row],[Date Gen PO]]="","",RawDataGenPO[[#This Row],[Date recive bill]]-RawDataGenPO[[#This Row],[Date Gen PO]])</f>
        <v>47</v>
      </c>
      <c r="AB72" s="47" t="str">
        <f>IF(RawDataGenPO[[#This Row],[GRN-PO date]]&gt;RawDataGenPO[[#This Row],[Lead time delivery (day)]],"over deliverry","Ontime")</f>
        <v>Ontime</v>
      </c>
      <c r="AC72" s="56" t="s">
        <v>222</v>
      </c>
      <c r="AD72" s="48"/>
    </row>
    <row r="73" spans="1:30" ht="14.25" x14ac:dyDescent="0.3">
      <c r="A73" s="28">
        <f>ROW()-ROW(RawDataGenPO[[#Headers],[No.]])</f>
        <v>72</v>
      </c>
      <c r="B73" s="33" t="s">
        <v>14</v>
      </c>
      <c r="C73" s="30">
        <v>45986</v>
      </c>
      <c r="D73" s="28" t="s">
        <v>181</v>
      </c>
      <c r="E73" s="28" t="s">
        <v>362</v>
      </c>
      <c r="F73" s="37">
        <v>46008</v>
      </c>
      <c r="G73" s="38">
        <v>120</v>
      </c>
      <c r="H73" s="28" t="s">
        <v>40</v>
      </c>
      <c r="I73" s="28">
        <v>7</v>
      </c>
      <c r="J73" s="39" t="s">
        <v>187</v>
      </c>
      <c r="K73" s="43">
        <v>2</v>
      </c>
      <c r="L73" s="28" t="s">
        <v>156</v>
      </c>
      <c r="M73" s="41">
        <f t="shared" si="3"/>
        <v>19700</v>
      </c>
      <c r="N73" s="42">
        <v>39400</v>
      </c>
      <c r="O73" s="43"/>
      <c r="P73" s="59">
        <v>39400</v>
      </c>
      <c r="Q73" s="59"/>
      <c r="R73" s="59"/>
      <c r="S73" s="59"/>
      <c r="T73" s="59"/>
      <c r="U73" s="59">
        <f>RawDataGenPO[[#This Row],[Total price]]-RawDataGenPO[[#This Row],[Column1]]-RawDataGenPO[[#This Row],[Column14]]-RawDataGenPO[[#This Row],[Column13]]-RawDataGenPO[[#This Row],[Column12]]</f>
        <v>0</v>
      </c>
      <c r="V73" s="33" t="s">
        <v>268</v>
      </c>
      <c r="W73" s="44" t="s">
        <v>8</v>
      </c>
      <c r="X73" s="28" t="s">
        <v>486</v>
      </c>
      <c r="Y73" s="35">
        <v>46055</v>
      </c>
      <c r="Z73" s="45"/>
      <c r="AA73" s="46">
        <f>IF(RawDataGenPO[[#This Row],[Date Gen PO]]="","",RawDataGenPO[[#This Row],[Date recive bill]]-RawDataGenPO[[#This Row],[Date Gen PO]])</f>
        <v>47</v>
      </c>
      <c r="AB73" s="47" t="str">
        <f>IF(RawDataGenPO[[#This Row],[GRN-PO date]]&gt;RawDataGenPO[[#This Row],[Lead time delivery (day)]],"over deliverry","Ontime")</f>
        <v>Ontime</v>
      </c>
      <c r="AC73" s="56" t="s">
        <v>222</v>
      </c>
      <c r="AD73" s="48"/>
    </row>
    <row r="74" spans="1:30" ht="14.25" x14ac:dyDescent="0.3">
      <c r="A74" s="28">
        <f>ROW()-ROW(RawDataGenPO[[#Headers],[No.]])</f>
        <v>73</v>
      </c>
      <c r="B74" s="33" t="s">
        <v>14</v>
      </c>
      <c r="C74" s="30">
        <v>45986</v>
      </c>
      <c r="D74" s="28" t="s">
        <v>181</v>
      </c>
      <c r="E74" s="28" t="s">
        <v>362</v>
      </c>
      <c r="F74" s="37">
        <v>46008</v>
      </c>
      <c r="G74" s="38">
        <v>120</v>
      </c>
      <c r="H74" s="28" t="s">
        <v>40</v>
      </c>
      <c r="I74" s="28">
        <v>8</v>
      </c>
      <c r="J74" s="39" t="s">
        <v>188</v>
      </c>
      <c r="K74" s="43">
        <v>4</v>
      </c>
      <c r="L74" s="28" t="s">
        <v>156</v>
      </c>
      <c r="M74" s="41">
        <f t="shared" si="3"/>
        <v>3550</v>
      </c>
      <c r="N74" s="42">
        <v>14200</v>
      </c>
      <c r="O74" s="43"/>
      <c r="P74" s="59">
        <v>14200</v>
      </c>
      <c r="Q74" s="59"/>
      <c r="R74" s="59"/>
      <c r="S74" s="59"/>
      <c r="T74" s="59"/>
      <c r="U74" s="59">
        <f>RawDataGenPO[[#This Row],[Total price]]-RawDataGenPO[[#This Row],[Column1]]-RawDataGenPO[[#This Row],[Column14]]-RawDataGenPO[[#This Row],[Column13]]-RawDataGenPO[[#This Row],[Column12]]</f>
        <v>0</v>
      </c>
      <c r="V74" s="33" t="s">
        <v>268</v>
      </c>
      <c r="W74" s="44" t="s">
        <v>8</v>
      </c>
      <c r="X74" s="28" t="s">
        <v>486</v>
      </c>
      <c r="Y74" s="35">
        <v>46055</v>
      </c>
      <c r="Z74" s="45"/>
      <c r="AA74" s="46">
        <f>IF(RawDataGenPO[[#This Row],[Date Gen PO]]="","",RawDataGenPO[[#This Row],[Date recive bill]]-RawDataGenPO[[#This Row],[Date Gen PO]])</f>
        <v>47</v>
      </c>
      <c r="AB74" s="47" t="str">
        <f>IF(RawDataGenPO[[#This Row],[GRN-PO date]]&gt;RawDataGenPO[[#This Row],[Lead time delivery (day)]],"over deliverry","Ontime")</f>
        <v>Ontime</v>
      </c>
      <c r="AC74" s="56" t="s">
        <v>222</v>
      </c>
      <c r="AD74" s="48"/>
    </row>
    <row r="75" spans="1:30" ht="14.25" x14ac:dyDescent="0.3">
      <c r="A75" s="28">
        <f>ROW()-ROW(RawDataGenPO[[#Headers],[No.]])</f>
        <v>74</v>
      </c>
      <c r="B75" s="33" t="s">
        <v>14</v>
      </c>
      <c r="C75" s="30">
        <v>45986</v>
      </c>
      <c r="D75" s="28" t="s">
        <v>181</v>
      </c>
      <c r="E75" s="28" t="s">
        <v>362</v>
      </c>
      <c r="F75" s="37">
        <v>46008</v>
      </c>
      <c r="G75" s="38">
        <v>120</v>
      </c>
      <c r="H75" s="28" t="s">
        <v>40</v>
      </c>
      <c r="I75" s="28">
        <v>9</v>
      </c>
      <c r="J75" s="39" t="s">
        <v>189</v>
      </c>
      <c r="K75" s="43">
        <v>10</v>
      </c>
      <c r="L75" s="28" t="s">
        <v>156</v>
      </c>
      <c r="M75" s="41">
        <f t="shared" si="3"/>
        <v>3770</v>
      </c>
      <c r="N75" s="42">
        <v>37700</v>
      </c>
      <c r="O75" s="43"/>
      <c r="P75" s="59">
        <v>37700</v>
      </c>
      <c r="Q75" s="59"/>
      <c r="R75" s="59"/>
      <c r="S75" s="59"/>
      <c r="T75" s="59"/>
      <c r="U75" s="59">
        <f>RawDataGenPO[[#This Row],[Total price]]-RawDataGenPO[[#This Row],[Column1]]-RawDataGenPO[[#This Row],[Column14]]-RawDataGenPO[[#This Row],[Column13]]-RawDataGenPO[[#This Row],[Column12]]</f>
        <v>0</v>
      </c>
      <c r="V75" s="33" t="s">
        <v>268</v>
      </c>
      <c r="W75" s="44" t="s">
        <v>8</v>
      </c>
      <c r="X75" s="28" t="s">
        <v>486</v>
      </c>
      <c r="Y75" s="35">
        <v>46055</v>
      </c>
      <c r="Z75" s="45"/>
      <c r="AA75" s="46">
        <f>IF(RawDataGenPO[[#This Row],[Date Gen PO]]="","",RawDataGenPO[[#This Row],[Date recive bill]]-RawDataGenPO[[#This Row],[Date Gen PO]])</f>
        <v>47</v>
      </c>
      <c r="AB75" s="47" t="str">
        <f>IF(RawDataGenPO[[#This Row],[GRN-PO date]]&gt;RawDataGenPO[[#This Row],[Lead time delivery (day)]],"over deliverry","Ontime")</f>
        <v>Ontime</v>
      </c>
      <c r="AC75" s="56" t="s">
        <v>222</v>
      </c>
      <c r="AD75" s="48"/>
    </row>
    <row r="76" spans="1:30" ht="14.25" x14ac:dyDescent="0.3">
      <c r="A76" s="28">
        <f>ROW()-ROW(RawDataGenPO[[#Headers],[No.]])</f>
        <v>75</v>
      </c>
      <c r="B76" s="33" t="s">
        <v>14</v>
      </c>
      <c r="C76" s="30">
        <v>45986</v>
      </c>
      <c r="D76" s="28" t="s">
        <v>181</v>
      </c>
      <c r="E76" s="28" t="s">
        <v>362</v>
      </c>
      <c r="F76" s="37">
        <v>46008</v>
      </c>
      <c r="G76" s="38">
        <v>120</v>
      </c>
      <c r="H76" s="28" t="s">
        <v>40</v>
      </c>
      <c r="I76" s="28">
        <v>10</v>
      </c>
      <c r="J76" s="39" t="s">
        <v>190</v>
      </c>
      <c r="K76" s="43">
        <v>15</v>
      </c>
      <c r="L76" s="28" t="s">
        <v>156</v>
      </c>
      <c r="M76" s="41">
        <f t="shared" si="3"/>
        <v>13170</v>
      </c>
      <c r="N76" s="42">
        <v>197550</v>
      </c>
      <c r="O76" s="43"/>
      <c r="P76" s="59">
        <v>197550</v>
      </c>
      <c r="Q76" s="59"/>
      <c r="R76" s="59"/>
      <c r="S76" s="59"/>
      <c r="T76" s="59"/>
      <c r="U76" s="59">
        <f>RawDataGenPO[[#This Row],[Total price]]-RawDataGenPO[[#This Row],[Column1]]-RawDataGenPO[[#This Row],[Column14]]-RawDataGenPO[[#This Row],[Column13]]-RawDataGenPO[[#This Row],[Column12]]</f>
        <v>0</v>
      </c>
      <c r="V76" s="33" t="s">
        <v>268</v>
      </c>
      <c r="W76" s="44" t="s">
        <v>8</v>
      </c>
      <c r="X76" s="28" t="s">
        <v>486</v>
      </c>
      <c r="Y76" s="35">
        <v>46055</v>
      </c>
      <c r="Z76" s="45"/>
      <c r="AA76" s="46">
        <f>IF(RawDataGenPO[[#This Row],[Date Gen PO]]="","",RawDataGenPO[[#This Row],[Date recive bill]]-RawDataGenPO[[#This Row],[Date Gen PO]])</f>
        <v>47</v>
      </c>
      <c r="AB76" s="47" t="str">
        <f>IF(RawDataGenPO[[#This Row],[GRN-PO date]]&gt;RawDataGenPO[[#This Row],[Lead time delivery (day)]],"over deliverry","Ontime")</f>
        <v>Ontime</v>
      </c>
      <c r="AC76" s="56" t="s">
        <v>222</v>
      </c>
      <c r="AD76" s="48"/>
    </row>
    <row r="77" spans="1:30" ht="14.25" x14ac:dyDescent="0.3">
      <c r="A77" s="28">
        <f>ROW()-ROW(RawDataGenPO[[#Headers],[No.]])</f>
        <v>76</v>
      </c>
      <c r="B77" s="33" t="s">
        <v>14</v>
      </c>
      <c r="C77" s="30">
        <v>45986</v>
      </c>
      <c r="D77" s="28" t="s">
        <v>181</v>
      </c>
      <c r="E77" s="28" t="s">
        <v>363</v>
      </c>
      <c r="F77" s="37">
        <v>46007</v>
      </c>
      <c r="G77" s="38">
        <v>120</v>
      </c>
      <c r="H77" s="28" t="s">
        <v>40</v>
      </c>
      <c r="I77" s="28">
        <v>11</v>
      </c>
      <c r="J77" s="39" t="s">
        <v>191</v>
      </c>
      <c r="K77" s="43">
        <v>2</v>
      </c>
      <c r="L77" s="28" t="s">
        <v>156</v>
      </c>
      <c r="M77" s="41">
        <f t="shared" si="3"/>
        <v>10100</v>
      </c>
      <c r="N77" s="42">
        <v>20200</v>
      </c>
      <c r="O77" s="43"/>
      <c r="P77" s="59">
        <v>20200</v>
      </c>
      <c r="Q77" s="59"/>
      <c r="R77" s="59"/>
      <c r="S77" s="59"/>
      <c r="T77" s="59"/>
      <c r="U77" s="59">
        <f>RawDataGenPO[[#This Row],[Total price]]-RawDataGenPO[[#This Row],[Column1]]-RawDataGenPO[[#This Row],[Column14]]-RawDataGenPO[[#This Row],[Column13]]-RawDataGenPO[[#This Row],[Column12]]</f>
        <v>0</v>
      </c>
      <c r="V77" s="33" t="s">
        <v>364</v>
      </c>
      <c r="W77" s="44" t="s">
        <v>8</v>
      </c>
      <c r="X77" s="28" t="s">
        <v>490</v>
      </c>
      <c r="Y77" s="35">
        <v>46055</v>
      </c>
      <c r="Z77" s="45"/>
      <c r="AA77" s="46">
        <f>IF(RawDataGenPO[[#This Row],[Date Gen PO]]="","",RawDataGenPO[[#This Row],[Date recive bill]]-RawDataGenPO[[#This Row],[Date Gen PO]])</f>
        <v>48</v>
      </c>
      <c r="AB77" s="47" t="str">
        <f>IF(RawDataGenPO[[#This Row],[GRN-PO date]]&gt;RawDataGenPO[[#This Row],[Lead time delivery (day)]],"over deliverry","Ontime")</f>
        <v>Ontime</v>
      </c>
      <c r="AC77" s="56" t="s">
        <v>222</v>
      </c>
      <c r="AD77" s="48"/>
    </row>
    <row r="78" spans="1:30" ht="42.75" x14ac:dyDescent="0.3">
      <c r="A78" s="28">
        <f>ROW()-ROW(RawDataGenPO[[#Headers],[No.]])</f>
        <v>77</v>
      </c>
      <c r="B78" s="33" t="s">
        <v>14</v>
      </c>
      <c r="C78" s="30">
        <v>45986</v>
      </c>
      <c r="D78" s="28" t="s">
        <v>181</v>
      </c>
      <c r="E78" s="28" t="s">
        <v>365</v>
      </c>
      <c r="F78" s="37">
        <v>46008</v>
      </c>
      <c r="G78" s="38">
        <v>120</v>
      </c>
      <c r="H78" s="28" t="s">
        <v>40</v>
      </c>
      <c r="I78" s="28">
        <v>12</v>
      </c>
      <c r="J78" s="39" t="s">
        <v>366</v>
      </c>
      <c r="K78" s="43">
        <v>6</v>
      </c>
      <c r="L78" s="28" t="s">
        <v>156</v>
      </c>
      <c r="M78" s="41">
        <f t="shared" si="3"/>
        <v>3200</v>
      </c>
      <c r="N78" s="42">
        <v>19200</v>
      </c>
      <c r="O78" s="43"/>
      <c r="P78" s="59">
        <v>19200</v>
      </c>
      <c r="Q78" s="59"/>
      <c r="R78" s="59"/>
      <c r="S78" s="59"/>
      <c r="T78" s="59"/>
      <c r="U78" s="59">
        <f>RawDataGenPO[[#This Row],[Total price]]-RawDataGenPO[[#This Row],[Column1]]-RawDataGenPO[[#This Row],[Column14]]-RawDataGenPO[[#This Row],[Column13]]-RawDataGenPO[[#This Row],[Column12]]</f>
        <v>0</v>
      </c>
      <c r="V78" s="33" t="s">
        <v>344</v>
      </c>
      <c r="W78" s="44" t="s">
        <v>8</v>
      </c>
      <c r="X78" s="28" t="s">
        <v>561</v>
      </c>
      <c r="Y78" s="35">
        <v>46070</v>
      </c>
      <c r="Z78" s="45"/>
      <c r="AA78" s="46">
        <f>IF(RawDataGenPO[[#This Row],[Date Gen PO]]="","",RawDataGenPO[[#This Row],[Date recive bill]]-RawDataGenPO[[#This Row],[Date Gen PO]])</f>
        <v>62</v>
      </c>
      <c r="AB78" s="47" t="str">
        <f>IF(RawDataGenPO[[#This Row],[GRN-PO date]]&gt;RawDataGenPO[[#This Row],[Lead time delivery (day)]],"over deliverry","Ontime")</f>
        <v>Ontime</v>
      </c>
      <c r="AC78" s="56" t="s">
        <v>222</v>
      </c>
      <c r="AD78" s="48"/>
    </row>
    <row r="79" spans="1:30" ht="57" x14ac:dyDescent="0.3">
      <c r="A79" s="28">
        <f>ROW()-ROW(RawDataGenPO[[#Headers],[No.]])</f>
        <v>78</v>
      </c>
      <c r="B79" s="33" t="s">
        <v>14</v>
      </c>
      <c r="C79" s="30">
        <v>45986</v>
      </c>
      <c r="D79" s="28" t="s">
        <v>181</v>
      </c>
      <c r="E79" s="28" t="s">
        <v>367</v>
      </c>
      <c r="F79" s="37">
        <v>46007</v>
      </c>
      <c r="G79" s="38">
        <v>120</v>
      </c>
      <c r="H79" s="28" t="s">
        <v>40</v>
      </c>
      <c r="I79" s="28">
        <v>13</v>
      </c>
      <c r="J79" s="39" t="s">
        <v>369</v>
      </c>
      <c r="K79" s="43">
        <v>4</v>
      </c>
      <c r="L79" s="28" t="s">
        <v>156</v>
      </c>
      <c r="M79" s="41">
        <f t="shared" si="3"/>
        <v>4500</v>
      </c>
      <c r="N79" s="42">
        <v>18000</v>
      </c>
      <c r="O79" s="43"/>
      <c r="P79" s="59">
        <v>18000</v>
      </c>
      <c r="Q79" s="59"/>
      <c r="R79" s="59"/>
      <c r="S79" s="59"/>
      <c r="T79" s="59"/>
      <c r="U79" s="59">
        <f>RawDataGenPO[[#This Row],[Total price]]-RawDataGenPO[[#This Row],[Column1]]-RawDataGenPO[[#This Row],[Column14]]-RawDataGenPO[[#This Row],[Column13]]-RawDataGenPO[[#This Row],[Column12]]</f>
        <v>0</v>
      </c>
      <c r="V79" s="33" t="s">
        <v>368</v>
      </c>
      <c r="W79" s="44" t="s">
        <v>8</v>
      </c>
      <c r="X79" s="28" t="s">
        <v>392</v>
      </c>
      <c r="Y79" s="35">
        <v>46030</v>
      </c>
      <c r="Z79" s="45"/>
      <c r="AA79" s="46">
        <f>IF(RawDataGenPO[[#This Row],[Date Gen PO]]="","",RawDataGenPO[[#This Row],[Date recive bill]]-RawDataGenPO[[#This Row],[Date Gen PO]])</f>
        <v>23</v>
      </c>
      <c r="AB79" s="47" t="str">
        <f>IF(RawDataGenPO[[#This Row],[GRN-PO date]]&gt;RawDataGenPO[[#This Row],[Lead time delivery (day)]],"over deliverry","Ontime")</f>
        <v>Ontime</v>
      </c>
      <c r="AC79" s="56" t="s">
        <v>222</v>
      </c>
      <c r="AD79" s="48"/>
    </row>
    <row r="80" spans="1:30" ht="57" x14ac:dyDescent="0.3">
      <c r="A80" s="28">
        <f>ROW()-ROW(RawDataGenPO[[#Headers],[No.]])</f>
        <v>79</v>
      </c>
      <c r="B80" s="33" t="s">
        <v>14</v>
      </c>
      <c r="C80" s="30">
        <v>45986</v>
      </c>
      <c r="D80" s="28" t="s">
        <v>181</v>
      </c>
      <c r="E80" s="28" t="s">
        <v>370</v>
      </c>
      <c r="F80" s="37">
        <v>46007</v>
      </c>
      <c r="G80" s="38">
        <v>120</v>
      </c>
      <c r="H80" s="28" t="s">
        <v>40</v>
      </c>
      <c r="I80" s="28">
        <v>14</v>
      </c>
      <c r="J80" s="39" t="s">
        <v>371</v>
      </c>
      <c r="K80" s="43">
        <v>3</v>
      </c>
      <c r="L80" s="28" t="s">
        <v>156</v>
      </c>
      <c r="M80" s="41">
        <f t="shared" si="3"/>
        <v>25350</v>
      </c>
      <c r="N80" s="42">
        <v>76050</v>
      </c>
      <c r="O80" s="43"/>
      <c r="P80" s="59">
        <v>76050</v>
      </c>
      <c r="Q80" s="59"/>
      <c r="R80" s="59"/>
      <c r="S80" s="59"/>
      <c r="T80" s="59"/>
      <c r="U80" s="59">
        <f>RawDataGenPO[[#This Row],[Total price]]-RawDataGenPO[[#This Row],[Column1]]-RawDataGenPO[[#This Row],[Column14]]-RawDataGenPO[[#This Row],[Column13]]-RawDataGenPO[[#This Row],[Column12]]</f>
        <v>0</v>
      </c>
      <c r="V80" s="33" t="s">
        <v>372</v>
      </c>
      <c r="W80" s="44" t="s">
        <v>8</v>
      </c>
      <c r="X80" s="28" t="s">
        <v>407</v>
      </c>
      <c r="Y80" s="35">
        <v>46039</v>
      </c>
      <c r="Z80" s="45"/>
      <c r="AA80" s="46">
        <f>IF(RawDataGenPO[[#This Row],[Date Gen PO]]="","",RawDataGenPO[[#This Row],[Date recive bill]]-RawDataGenPO[[#This Row],[Date Gen PO]])</f>
        <v>32</v>
      </c>
      <c r="AB80" s="47" t="str">
        <f>IF(RawDataGenPO[[#This Row],[GRN-PO date]]&gt;RawDataGenPO[[#This Row],[Lead time delivery (day)]],"over deliverry","Ontime")</f>
        <v>Ontime</v>
      </c>
      <c r="AC80" s="56" t="s">
        <v>222</v>
      </c>
      <c r="AD80" s="48"/>
    </row>
    <row r="81" spans="1:30" ht="14.25" x14ac:dyDescent="0.3">
      <c r="A81" s="28">
        <f>ROW()-ROW(RawDataGenPO[[#Headers],[No.]])</f>
        <v>80</v>
      </c>
      <c r="B81" s="33" t="s">
        <v>14</v>
      </c>
      <c r="C81" s="30">
        <v>45986</v>
      </c>
      <c r="D81" s="28" t="s">
        <v>181</v>
      </c>
      <c r="E81" s="28" t="s">
        <v>373</v>
      </c>
      <c r="F81" s="37">
        <v>46007</v>
      </c>
      <c r="G81" s="38">
        <v>120</v>
      </c>
      <c r="H81" s="28" t="s">
        <v>40</v>
      </c>
      <c r="I81" s="28">
        <v>15</v>
      </c>
      <c r="J81" s="39" t="s">
        <v>192</v>
      </c>
      <c r="K81" s="43">
        <v>4</v>
      </c>
      <c r="L81" s="28" t="s">
        <v>156</v>
      </c>
      <c r="M81" s="41">
        <f t="shared" si="3"/>
        <v>4350</v>
      </c>
      <c r="N81" s="42">
        <v>17400</v>
      </c>
      <c r="O81" s="43"/>
      <c r="P81" s="59">
        <v>17400</v>
      </c>
      <c r="Q81" s="59"/>
      <c r="R81" s="59"/>
      <c r="S81" s="59"/>
      <c r="T81" s="59"/>
      <c r="U81" s="59">
        <f>RawDataGenPO[[#This Row],[Total price]]-RawDataGenPO[[#This Row],[Column1]]-RawDataGenPO[[#This Row],[Column14]]-RawDataGenPO[[#This Row],[Column13]]-RawDataGenPO[[#This Row],[Column12]]</f>
        <v>0</v>
      </c>
      <c r="V81" s="33" t="s">
        <v>339</v>
      </c>
      <c r="W81" s="44" t="s">
        <v>8</v>
      </c>
      <c r="X81" s="28" t="s">
        <v>408</v>
      </c>
      <c r="Y81" s="35">
        <v>46039</v>
      </c>
      <c r="Z81" s="45"/>
      <c r="AA81" s="46">
        <f>IF(RawDataGenPO[[#This Row],[Date Gen PO]]="","",RawDataGenPO[[#This Row],[Date recive bill]]-RawDataGenPO[[#This Row],[Date Gen PO]])</f>
        <v>32</v>
      </c>
      <c r="AB81" s="47" t="str">
        <f>IF(RawDataGenPO[[#This Row],[GRN-PO date]]&gt;RawDataGenPO[[#This Row],[Lead time delivery (day)]],"over deliverry","Ontime")</f>
        <v>Ontime</v>
      </c>
      <c r="AC81" s="56" t="s">
        <v>222</v>
      </c>
      <c r="AD81" s="48"/>
    </row>
    <row r="82" spans="1:30" ht="14.25" x14ac:dyDescent="0.3">
      <c r="A82" s="28">
        <f>ROW()-ROW(RawDataGenPO[[#Headers],[No.]])</f>
        <v>81</v>
      </c>
      <c r="B82" s="33" t="s">
        <v>14</v>
      </c>
      <c r="C82" s="30">
        <v>45986</v>
      </c>
      <c r="D82" s="28" t="s">
        <v>181</v>
      </c>
      <c r="E82" s="28" t="s">
        <v>358</v>
      </c>
      <c r="F82" s="37">
        <v>46007</v>
      </c>
      <c r="G82" s="38">
        <v>120</v>
      </c>
      <c r="H82" s="28" t="s">
        <v>40</v>
      </c>
      <c r="I82" s="28">
        <v>16</v>
      </c>
      <c r="J82" s="39" t="s">
        <v>374</v>
      </c>
      <c r="K82" s="43">
        <v>4</v>
      </c>
      <c r="L82" s="28" t="s">
        <v>156</v>
      </c>
      <c r="M82" s="41">
        <f t="shared" si="3"/>
        <v>500</v>
      </c>
      <c r="N82" s="42">
        <v>2000</v>
      </c>
      <c r="O82" s="43"/>
      <c r="P82" s="59">
        <v>2000</v>
      </c>
      <c r="Q82" s="59"/>
      <c r="R82" s="59"/>
      <c r="S82" s="59"/>
      <c r="T82" s="59"/>
      <c r="U82" s="59">
        <f>RawDataGenPO[[#This Row],[Total price]]-RawDataGenPO[[#This Row],[Column1]]-RawDataGenPO[[#This Row],[Column14]]-RawDataGenPO[[#This Row],[Column13]]-RawDataGenPO[[#This Row],[Column12]]</f>
        <v>0</v>
      </c>
      <c r="V82" s="33" t="s">
        <v>341</v>
      </c>
      <c r="W82" s="44" t="s">
        <v>8</v>
      </c>
      <c r="X82" s="28" t="s">
        <v>409</v>
      </c>
      <c r="Y82" s="35">
        <v>46039</v>
      </c>
      <c r="Z82" s="45"/>
      <c r="AA82" s="46">
        <f>IF(RawDataGenPO[[#This Row],[Date Gen PO]]="","",RawDataGenPO[[#This Row],[Date recive bill]]-RawDataGenPO[[#This Row],[Date Gen PO]])</f>
        <v>32</v>
      </c>
      <c r="AB82" s="47" t="str">
        <f>IF(RawDataGenPO[[#This Row],[GRN-PO date]]&gt;RawDataGenPO[[#This Row],[Lead time delivery (day)]],"over deliverry","Ontime")</f>
        <v>Ontime</v>
      </c>
      <c r="AC82" s="56" t="s">
        <v>222</v>
      </c>
      <c r="AD82" s="48"/>
    </row>
    <row r="83" spans="1:30" ht="42.75" x14ac:dyDescent="0.3">
      <c r="A83" s="28">
        <f>ROW()-ROW(RawDataGenPO[[#Headers],[No.]])</f>
        <v>82</v>
      </c>
      <c r="B83" s="33" t="s">
        <v>14</v>
      </c>
      <c r="C83" s="30">
        <v>45986</v>
      </c>
      <c r="D83" s="28" t="s">
        <v>181</v>
      </c>
      <c r="E83" s="28" t="s">
        <v>353</v>
      </c>
      <c r="F83" s="37">
        <v>46007</v>
      </c>
      <c r="G83" s="38">
        <v>120</v>
      </c>
      <c r="H83" s="28" t="s">
        <v>40</v>
      </c>
      <c r="I83" s="28">
        <v>17</v>
      </c>
      <c r="J83" s="39" t="s">
        <v>375</v>
      </c>
      <c r="K83" s="43">
        <v>1</v>
      </c>
      <c r="L83" s="28" t="s">
        <v>156</v>
      </c>
      <c r="M83" s="41">
        <f t="shared" si="3"/>
        <v>17586.91</v>
      </c>
      <c r="N83" s="61">
        <v>17586.91</v>
      </c>
      <c r="O83" s="59"/>
      <c r="P83" s="59">
        <v>17586.91</v>
      </c>
      <c r="Q83" s="59"/>
      <c r="R83" s="59"/>
      <c r="S83" s="59"/>
      <c r="T83" s="59"/>
      <c r="U83" s="59">
        <f>RawDataGenPO[[#This Row],[Total price]]-RawDataGenPO[[#This Row],[Column1]]-RawDataGenPO[[#This Row],[Column14]]-RawDataGenPO[[#This Row],[Column13]]-RawDataGenPO[[#This Row],[Column12]]</f>
        <v>0</v>
      </c>
      <c r="V83" s="33" t="s">
        <v>351</v>
      </c>
      <c r="W83" s="44" t="s">
        <v>8</v>
      </c>
      <c r="X83" s="28" t="s">
        <v>489</v>
      </c>
      <c r="Y83" s="35">
        <v>46055</v>
      </c>
      <c r="Z83" s="45"/>
      <c r="AA83" s="46">
        <f>IF(RawDataGenPO[[#This Row],[Date Gen PO]]="","",RawDataGenPO[[#This Row],[Date recive bill]]-RawDataGenPO[[#This Row],[Date Gen PO]])</f>
        <v>48</v>
      </c>
      <c r="AB83" s="47" t="str">
        <f>IF(RawDataGenPO[[#This Row],[GRN-PO date]]&gt;RawDataGenPO[[#This Row],[Lead time delivery (day)]],"over deliverry","Ontime")</f>
        <v>Ontime</v>
      </c>
      <c r="AC83" s="56" t="s">
        <v>222</v>
      </c>
      <c r="AD83" s="48"/>
    </row>
    <row r="84" spans="1:30" ht="42.75" x14ac:dyDescent="0.3">
      <c r="A84" s="28">
        <f>ROW()-ROW(RawDataGenPO[[#Headers],[No.]])</f>
        <v>83</v>
      </c>
      <c r="B84" s="33" t="s">
        <v>14</v>
      </c>
      <c r="C84" s="30">
        <v>45986</v>
      </c>
      <c r="D84" s="28" t="s">
        <v>181</v>
      </c>
      <c r="E84" s="28" t="s">
        <v>376</v>
      </c>
      <c r="F84" s="37">
        <v>46007</v>
      </c>
      <c r="G84" s="38">
        <v>120</v>
      </c>
      <c r="H84" s="28" t="s">
        <v>40</v>
      </c>
      <c r="I84" s="28">
        <v>18</v>
      </c>
      <c r="J84" s="39" t="s">
        <v>377</v>
      </c>
      <c r="K84" s="43">
        <v>20</v>
      </c>
      <c r="L84" s="28" t="s">
        <v>156</v>
      </c>
      <c r="M84" s="41">
        <f t="shared" si="3"/>
        <v>11000</v>
      </c>
      <c r="N84" s="42">
        <v>220000</v>
      </c>
      <c r="O84" s="43"/>
      <c r="P84" s="59">
        <v>220000</v>
      </c>
      <c r="Q84" s="59"/>
      <c r="R84" s="59"/>
      <c r="S84" s="59"/>
      <c r="T84" s="59"/>
      <c r="U84" s="59">
        <f>RawDataGenPO[[#This Row],[Total price]]-RawDataGenPO[[#This Row],[Column1]]-RawDataGenPO[[#This Row],[Column14]]-RawDataGenPO[[#This Row],[Column13]]-RawDataGenPO[[#This Row],[Column12]]</f>
        <v>0</v>
      </c>
      <c r="V84" s="33" t="s">
        <v>211</v>
      </c>
      <c r="W84" s="44" t="s">
        <v>8</v>
      </c>
      <c r="X84" s="28" t="s">
        <v>414</v>
      </c>
      <c r="Y84" s="35">
        <v>46041</v>
      </c>
      <c r="Z84" s="45"/>
      <c r="AA84" s="46">
        <f>IF(RawDataGenPO[[#This Row],[Date Gen PO]]="","",RawDataGenPO[[#This Row],[Date recive bill]]-RawDataGenPO[[#This Row],[Date Gen PO]])</f>
        <v>34</v>
      </c>
      <c r="AB84" s="47" t="str">
        <f>IF(RawDataGenPO[[#This Row],[GRN-PO date]]&gt;RawDataGenPO[[#This Row],[Lead time delivery (day)]],"over deliverry","Ontime")</f>
        <v>Ontime</v>
      </c>
      <c r="AC84" s="56" t="s">
        <v>222</v>
      </c>
      <c r="AD84" s="48"/>
    </row>
    <row r="85" spans="1:30" ht="142.5" x14ac:dyDescent="0.3">
      <c r="A85" s="28">
        <f>ROW()-ROW(RawDataGenPO[[#Headers],[No.]])</f>
        <v>84</v>
      </c>
      <c r="B85" s="33" t="s">
        <v>14</v>
      </c>
      <c r="C85" s="30">
        <v>45986</v>
      </c>
      <c r="D85" s="28" t="s">
        <v>193</v>
      </c>
      <c r="E85" s="28" t="s">
        <v>271</v>
      </c>
      <c r="F85" s="37">
        <v>45992</v>
      </c>
      <c r="G85" s="38">
        <v>120</v>
      </c>
      <c r="H85" s="28" t="s">
        <v>40</v>
      </c>
      <c r="I85" s="28">
        <v>1</v>
      </c>
      <c r="J85" s="39" t="s">
        <v>194</v>
      </c>
      <c r="K85" s="43">
        <v>1</v>
      </c>
      <c r="L85" s="28" t="s">
        <v>41</v>
      </c>
      <c r="M85" s="41">
        <f t="shared" si="3"/>
        <v>182500</v>
      </c>
      <c r="N85" s="42">
        <v>182500</v>
      </c>
      <c r="O85" s="43"/>
      <c r="P85" s="43"/>
      <c r="Q85" s="43"/>
      <c r="R85" s="43"/>
      <c r="S85" s="43"/>
      <c r="T85" s="43"/>
      <c r="U85" s="43">
        <f>RawDataGenPO[[#This Row],[Total price]]-RawDataGenPO[[#This Row],[Column1]]-RawDataGenPO[[#This Row],[Column14]]-RawDataGenPO[[#This Row],[Column13]]-RawDataGenPO[[#This Row],[Column12]]</f>
        <v>182500</v>
      </c>
      <c r="V85" s="33" t="s">
        <v>272</v>
      </c>
      <c r="W85" s="44" t="s">
        <v>9</v>
      </c>
      <c r="Z85" s="45"/>
      <c r="AA85" s="46">
        <f>IF(RawDataGenPO[[#This Row],[Date Gen PO]]="","",RawDataGenPO[[#This Row],[Date recive bill]]-RawDataGenPO[[#This Row],[Date Gen PO]])</f>
        <v>-45992</v>
      </c>
      <c r="AB85" s="47" t="str">
        <f>IF(RawDataGenPO[[#This Row],[GRN-PO date]]&gt;RawDataGenPO[[#This Row],[Lead time delivery (day)]],"over deliverry","Ontime")</f>
        <v>Ontime</v>
      </c>
      <c r="AC85" s="56" t="s">
        <v>219</v>
      </c>
      <c r="AD85" s="48"/>
    </row>
    <row r="86" spans="1:30" ht="42.75" x14ac:dyDescent="0.3">
      <c r="A86" s="28">
        <f>ROW()-ROW(RawDataGenPO[[#Headers],[No.]])</f>
        <v>85</v>
      </c>
      <c r="B86" s="33" t="s">
        <v>14</v>
      </c>
      <c r="C86" s="30">
        <v>45986</v>
      </c>
      <c r="D86" s="28" t="s">
        <v>193</v>
      </c>
      <c r="E86" s="28" t="s">
        <v>271</v>
      </c>
      <c r="F86" s="37">
        <v>45992</v>
      </c>
      <c r="G86" s="38">
        <v>120</v>
      </c>
      <c r="H86" s="28" t="s">
        <v>40</v>
      </c>
      <c r="I86" s="28">
        <v>2</v>
      </c>
      <c r="J86" s="39" t="s">
        <v>195</v>
      </c>
      <c r="K86" s="43">
        <v>1</v>
      </c>
      <c r="L86" s="28" t="s">
        <v>41</v>
      </c>
      <c r="M86" s="41">
        <f t="shared" si="3"/>
        <v>137500</v>
      </c>
      <c r="N86" s="42">
        <v>137500</v>
      </c>
      <c r="O86" s="43"/>
      <c r="P86" s="43"/>
      <c r="Q86" s="43"/>
      <c r="R86" s="43"/>
      <c r="S86" s="43"/>
      <c r="T86" s="43"/>
      <c r="U86" s="43">
        <f>RawDataGenPO[[#This Row],[Total price]]-RawDataGenPO[[#This Row],[Column1]]-RawDataGenPO[[#This Row],[Column14]]-RawDataGenPO[[#This Row],[Column13]]-RawDataGenPO[[#This Row],[Column12]]</f>
        <v>137500</v>
      </c>
      <c r="V86" s="33" t="s">
        <v>272</v>
      </c>
      <c r="W86" s="44" t="s">
        <v>9</v>
      </c>
      <c r="Z86" s="45"/>
      <c r="AA86" s="46">
        <f>IF(RawDataGenPO[[#This Row],[Date Gen PO]]="","",RawDataGenPO[[#This Row],[Date recive bill]]-RawDataGenPO[[#This Row],[Date Gen PO]])</f>
        <v>-45992</v>
      </c>
      <c r="AB86" s="47" t="str">
        <f>IF(RawDataGenPO[[#This Row],[GRN-PO date]]&gt;RawDataGenPO[[#This Row],[Lead time delivery (day)]],"over deliverry","Ontime")</f>
        <v>Ontime</v>
      </c>
      <c r="AC86" s="56" t="s">
        <v>219</v>
      </c>
      <c r="AD86" s="48"/>
    </row>
    <row r="87" spans="1:30" ht="71.25" x14ac:dyDescent="0.3">
      <c r="A87" s="28">
        <f>ROW()-ROW(RawDataGenPO[[#Headers],[No.]])</f>
        <v>86</v>
      </c>
      <c r="B87" s="33" t="s">
        <v>14</v>
      </c>
      <c r="C87" s="30">
        <v>45986</v>
      </c>
      <c r="D87" s="28" t="s">
        <v>193</v>
      </c>
      <c r="E87" s="28" t="s">
        <v>271</v>
      </c>
      <c r="F87" s="37">
        <v>45992</v>
      </c>
      <c r="G87" s="38">
        <v>120</v>
      </c>
      <c r="H87" s="28" t="s">
        <v>40</v>
      </c>
      <c r="I87" s="28">
        <v>3</v>
      </c>
      <c r="J87" s="39" t="s">
        <v>196</v>
      </c>
      <c r="K87" s="43">
        <v>1</v>
      </c>
      <c r="L87" s="28" t="s">
        <v>41</v>
      </c>
      <c r="M87" s="41">
        <f t="shared" si="3"/>
        <v>64850.6</v>
      </c>
      <c r="N87" s="42">
        <v>64850.6</v>
      </c>
      <c r="O87" s="43"/>
      <c r="P87" s="43"/>
      <c r="Q87" s="43"/>
      <c r="R87" s="43"/>
      <c r="S87" s="43"/>
      <c r="T87" s="43"/>
      <c r="U87" s="43">
        <f>RawDataGenPO[[#This Row],[Total price]]-RawDataGenPO[[#This Row],[Column1]]-RawDataGenPO[[#This Row],[Column14]]-RawDataGenPO[[#This Row],[Column13]]-RawDataGenPO[[#This Row],[Column12]]</f>
        <v>64850.6</v>
      </c>
      <c r="V87" s="33" t="s">
        <v>272</v>
      </c>
      <c r="W87" s="44" t="s">
        <v>9</v>
      </c>
      <c r="Z87" s="45"/>
      <c r="AA87" s="46">
        <f>IF(RawDataGenPO[[#This Row],[Date Gen PO]]="","",RawDataGenPO[[#This Row],[Date recive bill]]-RawDataGenPO[[#This Row],[Date Gen PO]])</f>
        <v>-45992</v>
      </c>
      <c r="AB87" s="47" t="str">
        <f>IF(RawDataGenPO[[#This Row],[GRN-PO date]]&gt;RawDataGenPO[[#This Row],[Lead time delivery (day)]],"over deliverry","Ontime")</f>
        <v>Ontime</v>
      </c>
      <c r="AC87" s="56" t="s">
        <v>219</v>
      </c>
      <c r="AD87" s="48"/>
    </row>
    <row r="88" spans="1:30" ht="114" x14ac:dyDescent="0.3">
      <c r="A88" s="28">
        <f>ROW()-ROW(RawDataGenPO[[#Headers],[No.]])</f>
        <v>87</v>
      </c>
      <c r="B88" s="33" t="s">
        <v>14</v>
      </c>
      <c r="C88" s="30">
        <v>45986</v>
      </c>
      <c r="D88" s="28" t="s">
        <v>197</v>
      </c>
      <c r="E88" s="28" t="s">
        <v>198</v>
      </c>
      <c r="F88" s="37">
        <v>45988</v>
      </c>
      <c r="G88" s="38">
        <v>120</v>
      </c>
      <c r="H88" s="28" t="s">
        <v>40</v>
      </c>
      <c r="I88" s="28">
        <v>1</v>
      </c>
      <c r="J88" s="39" t="s">
        <v>389</v>
      </c>
      <c r="K88" s="43">
        <v>248</v>
      </c>
      <c r="L88" s="28" t="s">
        <v>38</v>
      </c>
      <c r="M88" s="41">
        <f t="shared" si="3"/>
        <v>4520.0960080645164</v>
      </c>
      <c r="N88" s="42">
        <v>1120983.81</v>
      </c>
      <c r="O88" s="43"/>
      <c r="P88" s="59">
        <v>1120983.81</v>
      </c>
      <c r="Q88" s="59"/>
      <c r="R88" s="59"/>
      <c r="S88" s="59"/>
      <c r="T88" s="59"/>
      <c r="U88" s="59">
        <f>RawDataGenPO[[#This Row],[Total price]]-RawDataGenPO[[#This Row],[Column1]]-RawDataGenPO[[#This Row],[Column14]]-RawDataGenPO[[#This Row],[Column13]]-RawDataGenPO[[#This Row],[Column12]]</f>
        <v>0</v>
      </c>
      <c r="V88" s="33" t="s">
        <v>199</v>
      </c>
      <c r="W88" s="44" t="s">
        <v>8</v>
      </c>
      <c r="X88" s="28" t="s">
        <v>394</v>
      </c>
      <c r="Y88" s="35">
        <v>46030</v>
      </c>
      <c r="Z88" s="45"/>
      <c r="AA88" s="46">
        <f>IF(RawDataGenPO[[#This Row],[Date Gen PO]]="","",RawDataGenPO[[#This Row],[Date recive bill]]-RawDataGenPO[[#This Row],[Date Gen PO]])</f>
        <v>42</v>
      </c>
      <c r="AB88" s="47" t="str">
        <f>IF(RawDataGenPO[[#This Row],[GRN-PO date]]&gt;RawDataGenPO[[#This Row],[Lead time delivery (day)]],"over deliverry","Ontime")</f>
        <v>Ontime</v>
      </c>
      <c r="AC88" s="56" t="s">
        <v>219</v>
      </c>
      <c r="AD88" s="48"/>
    </row>
    <row r="89" spans="1:30" ht="57" x14ac:dyDescent="0.3">
      <c r="A89" s="28">
        <f>ROW()-ROW(RawDataGenPO[[#Headers],[No.]])</f>
        <v>88</v>
      </c>
      <c r="B89" s="33" t="s">
        <v>14</v>
      </c>
      <c r="C89" s="30">
        <v>45986</v>
      </c>
      <c r="D89" s="28" t="s">
        <v>200</v>
      </c>
      <c r="E89" s="28" t="s">
        <v>201</v>
      </c>
      <c r="F89" s="37">
        <v>45992</v>
      </c>
      <c r="G89" s="38">
        <v>120</v>
      </c>
      <c r="H89" s="28" t="s">
        <v>40</v>
      </c>
      <c r="I89" s="28">
        <v>1</v>
      </c>
      <c r="J89" s="39" t="s">
        <v>390</v>
      </c>
      <c r="K89" s="43">
        <v>29</v>
      </c>
      <c r="L89" s="28" t="s">
        <v>38</v>
      </c>
      <c r="M89" s="41">
        <f t="shared" si="3"/>
        <v>18985.981724137931</v>
      </c>
      <c r="N89" s="42">
        <v>550593.47</v>
      </c>
      <c r="O89" s="43"/>
      <c r="P89" s="59">
        <v>550593.47</v>
      </c>
      <c r="Q89" s="59"/>
      <c r="R89" s="59"/>
      <c r="S89" s="59"/>
      <c r="T89" s="59"/>
      <c r="U89" s="59">
        <f>RawDataGenPO[[#This Row],[Total price]]-RawDataGenPO[[#This Row],[Column1]]-RawDataGenPO[[#This Row],[Column14]]-RawDataGenPO[[#This Row],[Column13]]-RawDataGenPO[[#This Row],[Column12]]</f>
        <v>0</v>
      </c>
      <c r="V89" s="33" t="s">
        <v>199</v>
      </c>
      <c r="W89" s="44" t="s">
        <v>8</v>
      </c>
      <c r="X89" s="28" t="s">
        <v>393</v>
      </c>
      <c r="Y89" s="35">
        <v>46030</v>
      </c>
      <c r="Z89" s="45"/>
      <c r="AA89" s="46">
        <f>IF(RawDataGenPO[[#This Row],[Date Gen PO]]="","",RawDataGenPO[[#This Row],[Date recive bill]]-RawDataGenPO[[#This Row],[Date Gen PO]])</f>
        <v>38</v>
      </c>
      <c r="AB89" s="47" t="str">
        <f>IF(RawDataGenPO[[#This Row],[GRN-PO date]]&gt;RawDataGenPO[[#This Row],[Lead time delivery (day)]],"over deliverry","Ontime")</f>
        <v>Ontime</v>
      </c>
      <c r="AC89" s="56" t="s">
        <v>219</v>
      </c>
      <c r="AD89" s="48"/>
    </row>
    <row r="90" spans="1:30" ht="85.5" x14ac:dyDescent="0.3">
      <c r="A90" s="28">
        <f>ROW()-ROW(RawDataGenPO[[#Headers],[No.]])</f>
        <v>89</v>
      </c>
      <c r="B90" s="33" t="s">
        <v>95</v>
      </c>
      <c r="C90" s="30">
        <v>45996</v>
      </c>
      <c r="D90" s="28" t="s">
        <v>233</v>
      </c>
      <c r="E90" s="28" t="s">
        <v>378</v>
      </c>
      <c r="F90" s="37">
        <v>46013</v>
      </c>
      <c r="G90" s="38">
        <v>120</v>
      </c>
      <c r="H90" s="28" t="s">
        <v>37</v>
      </c>
      <c r="I90" s="28">
        <v>1</v>
      </c>
      <c r="J90" s="39" t="s">
        <v>379</v>
      </c>
      <c r="K90" s="43">
        <v>715</v>
      </c>
      <c r="L90" s="28" t="s">
        <v>38</v>
      </c>
      <c r="M90" s="41">
        <f t="shared" si="3"/>
        <v>1350</v>
      </c>
      <c r="N90" s="42">
        <v>965250</v>
      </c>
      <c r="O90" s="43"/>
      <c r="P90" s="59">
        <v>965250</v>
      </c>
      <c r="Q90" s="59"/>
      <c r="R90" s="59"/>
      <c r="S90" s="59"/>
      <c r="T90" s="59"/>
      <c r="U90" s="59">
        <f>RawDataGenPO[[#This Row],[Total price]]-RawDataGenPO[[#This Row],[Column1]]-RawDataGenPO[[#This Row],[Column14]]-RawDataGenPO[[#This Row],[Column13]]-RawDataGenPO[[#This Row],[Column12]]</f>
        <v>0</v>
      </c>
      <c r="V90" s="33" t="s">
        <v>380</v>
      </c>
      <c r="W90" s="44" t="s">
        <v>8</v>
      </c>
      <c r="X90" s="28" t="s">
        <v>410</v>
      </c>
      <c r="Y90" s="35">
        <v>45674</v>
      </c>
      <c r="Z90" s="45"/>
      <c r="AA90" s="46">
        <f>IF(RawDataGenPO[[#This Row],[Date Gen PO]]="","",RawDataGenPO[[#This Row],[Date recive bill]]-RawDataGenPO[[#This Row],[Date Gen PO]])</f>
        <v>-339</v>
      </c>
      <c r="AB90" s="47" t="str">
        <f>IF(RawDataGenPO[[#This Row],[GRN-PO date]]&gt;RawDataGenPO[[#This Row],[Lead time delivery (day)]],"over deliverry","Ontime")</f>
        <v>Ontime</v>
      </c>
      <c r="AC90" s="56" t="s">
        <v>219</v>
      </c>
      <c r="AD90" s="48"/>
    </row>
    <row r="91" spans="1:30" ht="14.25" x14ac:dyDescent="0.3">
      <c r="A91" s="28">
        <f>ROW()-ROW(RawDataGenPO[[#Headers],[No.]])</f>
        <v>90</v>
      </c>
      <c r="B91" s="33" t="s">
        <v>95</v>
      </c>
      <c r="C91" s="30">
        <v>45996</v>
      </c>
      <c r="D91" s="28" t="s">
        <v>234</v>
      </c>
      <c r="E91" s="28" t="s">
        <v>235</v>
      </c>
      <c r="F91" s="37">
        <v>46007</v>
      </c>
      <c r="G91" s="38">
        <v>30</v>
      </c>
      <c r="H91" s="28" t="s">
        <v>37</v>
      </c>
      <c r="I91" s="28">
        <v>1</v>
      </c>
      <c r="J91" s="39" t="s">
        <v>237</v>
      </c>
      <c r="K91" s="43">
        <v>120</v>
      </c>
      <c r="L91" s="28" t="s">
        <v>38</v>
      </c>
      <c r="M91" s="41">
        <f t="shared" si="3"/>
        <v>185</v>
      </c>
      <c r="N91" s="61">
        <v>22200</v>
      </c>
      <c r="O91" s="59"/>
      <c r="P91" s="59">
        <f>RawDataGenPO[[#This Row],[Total price]]*100/100</f>
        <v>22200</v>
      </c>
      <c r="Q91" s="59"/>
      <c r="R91" s="59"/>
      <c r="S91" s="59"/>
      <c r="T91" s="59"/>
      <c r="U91" s="59">
        <f>RawDataGenPO[[#This Row],[Total price]]-RawDataGenPO[[#This Row],[Column1]]-RawDataGenPO[[#This Row],[Column14]]-RawDataGenPO[[#This Row],[Column13]]-RawDataGenPO[[#This Row],[Column12]]</f>
        <v>0</v>
      </c>
      <c r="V91" s="33" t="s">
        <v>236</v>
      </c>
      <c r="W91" s="44" t="s">
        <v>8</v>
      </c>
      <c r="X91" s="28" t="s">
        <v>274</v>
      </c>
      <c r="Y91" s="35">
        <v>46008</v>
      </c>
      <c r="Z91" s="45"/>
      <c r="AA91" s="46">
        <f>IF(RawDataGenPO[[#This Row],[Date Gen PO]]="","",RawDataGenPO[[#This Row],[Date recive bill]]-RawDataGenPO[[#This Row],[Date Gen PO]])</f>
        <v>1</v>
      </c>
      <c r="AB91" s="47" t="str">
        <f>IF(RawDataGenPO[[#This Row],[GRN-PO date]]&gt;RawDataGenPO[[#This Row],[Lead time delivery (day)]],"over deliverry","Ontime")</f>
        <v>Ontime</v>
      </c>
      <c r="AC91" s="56" t="s">
        <v>219</v>
      </c>
      <c r="AD91" s="48"/>
    </row>
    <row r="92" spans="1:30" ht="14.25" x14ac:dyDescent="0.3">
      <c r="A92" s="28">
        <f>ROW()-ROW(RawDataGenPO[[#Headers],[No.]])</f>
        <v>91</v>
      </c>
      <c r="B92" s="33" t="s">
        <v>95</v>
      </c>
      <c r="C92" s="30">
        <v>45996</v>
      </c>
      <c r="D92" s="28" t="s">
        <v>234</v>
      </c>
      <c r="E92" s="28" t="s">
        <v>235</v>
      </c>
      <c r="F92" s="37">
        <v>46007</v>
      </c>
      <c r="G92" s="38">
        <v>30</v>
      </c>
      <c r="H92" s="28" t="s">
        <v>37</v>
      </c>
      <c r="I92" s="28">
        <v>2</v>
      </c>
      <c r="J92" s="39" t="s">
        <v>238</v>
      </c>
      <c r="K92" s="43">
        <v>90</v>
      </c>
      <c r="L92" s="28" t="s">
        <v>38</v>
      </c>
      <c r="M92" s="41">
        <f t="shared" si="3"/>
        <v>185</v>
      </c>
      <c r="N92" s="61">
        <v>16650</v>
      </c>
      <c r="O92" s="59"/>
      <c r="P92" s="59">
        <f>RawDataGenPO[[#This Row],[Total price]]*100/100</f>
        <v>16650</v>
      </c>
      <c r="Q92" s="59"/>
      <c r="R92" s="59"/>
      <c r="S92" s="59"/>
      <c r="T92" s="59"/>
      <c r="U92" s="59">
        <f>RawDataGenPO[[#This Row],[Total price]]-RawDataGenPO[[#This Row],[Column1]]-RawDataGenPO[[#This Row],[Column14]]-RawDataGenPO[[#This Row],[Column13]]-RawDataGenPO[[#This Row],[Column12]]</f>
        <v>0</v>
      </c>
      <c r="V92" s="33" t="s">
        <v>236</v>
      </c>
      <c r="W92" s="44" t="s">
        <v>8</v>
      </c>
      <c r="X92" s="28" t="s">
        <v>274</v>
      </c>
      <c r="Y92" s="35">
        <v>46008</v>
      </c>
      <c r="Z92" s="45"/>
      <c r="AA92" s="46">
        <f>IF(RawDataGenPO[[#This Row],[Date Gen PO]]="","",RawDataGenPO[[#This Row],[Date recive bill]]-RawDataGenPO[[#This Row],[Date Gen PO]])</f>
        <v>1</v>
      </c>
      <c r="AB92" s="47" t="str">
        <f>IF(RawDataGenPO[[#This Row],[GRN-PO date]]&gt;RawDataGenPO[[#This Row],[Lead time delivery (day)]],"over deliverry","Ontime")</f>
        <v>Ontime</v>
      </c>
      <c r="AC92" s="56" t="s">
        <v>219</v>
      </c>
      <c r="AD92" s="48"/>
    </row>
    <row r="93" spans="1:30" ht="14.25" x14ac:dyDescent="0.3">
      <c r="A93" s="28">
        <f>ROW()-ROW(RawDataGenPO[[#Headers],[No.]])</f>
        <v>92</v>
      </c>
      <c r="B93" s="33" t="s">
        <v>95</v>
      </c>
      <c r="C93" s="30">
        <v>45996</v>
      </c>
      <c r="D93" s="28" t="s">
        <v>239</v>
      </c>
      <c r="E93" s="28" t="s">
        <v>275</v>
      </c>
      <c r="F93" s="37">
        <v>46008</v>
      </c>
      <c r="G93" s="38">
        <v>30</v>
      </c>
      <c r="H93" s="28" t="s">
        <v>240</v>
      </c>
      <c r="I93" s="28">
        <v>1</v>
      </c>
      <c r="J93" s="39" t="s">
        <v>241</v>
      </c>
      <c r="K93" s="43">
        <v>1</v>
      </c>
      <c r="L93" s="28" t="s">
        <v>41</v>
      </c>
      <c r="M93" s="41">
        <f t="shared" si="3"/>
        <v>23000</v>
      </c>
      <c r="N93" s="61">
        <v>23000</v>
      </c>
      <c r="O93" s="59"/>
      <c r="P93" s="59">
        <f>RawDataGenPO[[#This Row],[Total price]]*100/100</f>
        <v>23000</v>
      </c>
      <c r="Q93" s="59"/>
      <c r="R93" s="59"/>
      <c r="S93" s="59"/>
      <c r="T93" s="59"/>
      <c r="U93" s="59">
        <f>RawDataGenPO[[#This Row],[Total price]]-RawDataGenPO[[#This Row],[Column1]]-RawDataGenPO[[#This Row],[Column14]]-RawDataGenPO[[#This Row],[Column13]]-RawDataGenPO[[#This Row],[Column12]]</f>
        <v>0</v>
      </c>
      <c r="V93" s="33" t="s">
        <v>276</v>
      </c>
      <c r="W93" s="44" t="s">
        <v>8</v>
      </c>
      <c r="X93" s="60" t="s">
        <v>277</v>
      </c>
      <c r="Y93" s="35">
        <v>46009</v>
      </c>
      <c r="Z93" s="45"/>
      <c r="AA93" s="46">
        <f>IF(RawDataGenPO[[#This Row],[Date Gen PO]]="","",RawDataGenPO[[#This Row],[Date recive bill]]-RawDataGenPO[[#This Row],[Date Gen PO]])</f>
        <v>1</v>
      </c>
      <c r="AB93" s="47" t="str">
        <f>IF(RawDataGenPO[[#This Row],[GRN-PO date]]&gt;RawDataGenPO[[#This Row],[Lead time delivery (day)]],"over deliverry","Ontime")</f>
        <v>Ontime</v>
      </c>
      <c r="AC93" s="56" t="s">
        <v>219</v>
      </c>
      <c r="AD93" s="48"/>
    </row>
    <row r="94" spans="1:30" ht="28.5" x14ac:dyDescent="0.3">
      <c r="A94" s="28">
        <f>ROW()-ROW(RawDataGenPO[[#Headers],[No.]])</f>
        <v>93</v>
      </c>
      <c r="B94" s="33" t="s">
        <v>95</v>
      </c>
      <c r="C94" s="30">
        <v>46002</v>
      </c>
      <c r="D94" s="28" t="s">
        <v>242</v>
      </c>
      <c r="E94" s="28" t="s">
        <v>244</v>
      </c>
      <c r="F94" s="37">
        <v>46003</v>
      </c>
      <c r="G94" s="38">
        <v>30</v>
      </c>
      <c r="H94" s="28" t="s">
        <v>37</v>
      </c>
      <c r="I94" s="28">
        <v>1</v>
      </c>
      <c r="J94" s="39" t="s">
        <v>243</v>
      </c>
      <c r="K94" s="43">
        <v>60</v>
      </c>
      <c r="L94" s="28" t="s">
        <v>163</v>
      </c>
      <c r="M94" s="41">
        <f t="shared" si="3"/>
        <v>550</v>
      </c>
      <c r="N94" s="42">
        <v>33000</v>
      </c>
      <c r="O94" s="43"/>
      <c r="P94" s="59">
        <f>RawDataGenPO[[#This Row],[Total price]]*100/100</f>
        <v>33000</v>
      </c>
      <c r="Q94" s="59"/>
      <c r="R94" s="59"/>
      <c r="S94" s="59"/>
      <c r="T94" s="59"/>
      <c r="U94" s="59">
        <f>RawDataGenPO[[#This Row],[Total price]]-RawDataGenPO[[#This Row],[Column1]]-RawDataGenPO[[#This Row],[Column14]]-RawDataGenPO[[#This Row],[Column13]]-RawDataGenPO[[#This Row],[Column12]]</f>
        <v>0</v>
      </c>
      <c r="V94" s="33" t="s">
        <v>245</v>
      </c>
      <c r="W94" s="44" t="s">
        <v>8</v>
      </c>
      <c r="Y94" s="35">
        <v>46010</v>
      </c>
      <c r="Z94" s="45"/>
      <c r="AA94" s="46">
        <f>IF(RawDataGenPO[[#This Row],[Date Gen PO]]="","",RawDataGenPO[[#This Row],[Date recive bill]]-RawDataGenPO[[#This Row],[Date Gen PO]])</f>
        <v>7</v>
      </c>
      <c r="AB94" s="47" t="str">
        <f>IF(RawDataGenPO[[#This Row],[GRN-PO date]]&gt;RawDataGenPO[[#This Row],[Lead time delivery (day)]],"over deliverry","Ontime")</f>
        <v>Ontime</v>
      </c>
      <c r="AC94" s="56" t="s">
        <v>219</v>
      </c>
      <c r="AD94" s="48"/>
    </row>
    <row r="95" spans="1:30" ht="28.5" x14ac:dyDescent="0.3">
      <c r="A95" s="28">
        <f>ROW()-ROW(RawDataGenPO[[#Headers],[No.]])</f>
        <v>94</v>
      </c>
      <c r="B95" s="33" t="s">
        <v>95</v>
      </c>
      <c r="C95" s="30">
        <v>46002</v>
      </c>
      <c r="D95" s="28" t="s">
        <v>246</v>
      </c>
      <c r="E95" s="28" t="s">
        <v>454</v>
      </c>
      <c r="F95" s="37">
        <v>46044</v>
      </c>
      <c r="G95" s="38">
        <v>2000</v>
      </c>
      <c r="H95" s="28" t="s">
        <v>154</v>
      </c>
      <c r="I95" s="28">
        <v>1</v>
      </c>
      <c r="J95" s="39" t="s">
        <v>455</v>
      </c>
      <c r="K95" s="43">
        <v>36</v>
      </c>
      <c r="L95" s="28" t="s">
        <v>1</v>
      </c>
      <c r="M95" s="41">
        <f t="shared" si="3"/>
        <v>17200</v>
      </c>
      <c r="N95" s="42">
        <v>619200</v>
      </c>
      <c r="O95" s="43"/>
      <c r="P95" s="43"/>
      <c r="Q95" s="43"/>
      <c r="R95" s="43"/>
      <c r="S95" s="43"/>
      <c r="T95" s="43"/>
      <c r="U95" s="43">
        <f>RawDataGenPO[[#This Row],[Total price]]-RawDataGenPO[[#This Row],[Column1]]-RawDataGenPO[[#This Row],[Column14]]-RawDataGenPO[[#This Row],[Column13]]-RawDataGenPO[[#This Row],[Column12]]</f>
        <v>619200</v>
      </c>
      <c r="V95" s="33" t="s">
        <v>383</v>
      </c>
      <c r="W95" s="44" t="s">
        <v>9</v>
      </c>
      <c r="Z95" s="45"/>
      <c r="AA95" s="46">
        <f>IF(RawDataGenPO[[#This Row],[Date Gen PO]]="","",RawDataGenPO[[#This Row],[Date recive bill]]-RawDataGenPO[[#This Row],[Date Gen PO]])</f>
        <v>-46044</v>
      </c>
      <c r="AB95" s="47" t="str">
        <f>IF(RawDataGenPO[[#This Row],[GRN-PO date]]&gt;RawDataGenPO[[#This Row],[Lead time delivery (day)]],"over deliverry","Ontime")</f>
        <v>Ontime</v>
      </c>
      <c r="AC95" s="56" t="s">
        <v>223</v>
      </c>
      <c r="AD95" s="48"/>
    </row>
    <row r="96" spans="1:30" ht="99.75" x14ac:dyDescent="0.3">
      <c r="A96" s="28">
        <f>ROW()-ROW(RawDataGenPO[[#Headers],[No.]])</f>
        <v>95</v>
      </c>
      <c r="B96" s="33" t="s">
        <v>95</v>
      </c>
      <c r="C96" s="30">
        <v>46002</v>
      </c>
      <c r="D96" s="28" t="s">
        <v>246</v>
      </c>
      <c r="E96" s="28" t="s">
        <v>381</v>
      </c>
      <c r="F96" s="37">
        <v>46013</v>
      </c>
      <c r="G96" s="38">
        <v>220</v>
      </c>
      <c r="H96" s="28" t="s">
        <v>154</v>
      </c>
      <c r="I96" s="28">
        <v>2</v>
      </c>
      <c r="J96" s="39" t="s">
        <v>382</v>
      </c>
      <c r="K96" s="43">
        <v>3</v>
      </c>
      <c r="L96" s="28" t="s">
        <v>1</v>
      </c>
      <c r="M96" s="41">
        <f t="shared" si="3"/>
        <v>13900</v>
      </c>
      <c r="N96" s="42">
        <v>41700</v>
      </c>
      <c r="O96" s="43"/>
      <c r="P96" s="75">
        <v>13900</v>
      </c>
      <c r="Q96" s="75">
        <v>13900</v>
      </c>
      <c r="R96" s="75">
        <v>13900</v>
      </c>
      <c r="S96" s="75"/>
      <c r="T96" s="75"/>
      <c r="U96" s="75">
        <f>RawDataGenPO[[#This Row],[Total price]]-RawDataGenPO[[#This Row],[Column1]]-RawDataGenPO[[#This Row],[Column14]]-RawDataGenPO[[#This Row],[Column13]]-RawDataGenPO[[#This Row],[Column12]]</f>
        <v>0</v>
      </c>
      <c r="V96" s="33" t="s">
        <v>383</v>
      </c>
      <c r="W96" s="44" t="s">
        <v>8</v>
      </c>
      <c r="X96" s="31" t="s">
        <v>608</v>
      </c>
      <c r="Y96" s="35">
        <v>46071</v>
      </c>
      <c r="Z96" s="45"/>
      <c r="AA96" s="46">
        <f>IF(RawDataGenPO[[#This Row],[Date Gen PO]]="","",RawDataGenPO[[#This Row],[Date recive bill]]-RawDataGenPO[[#This Row],[Date Gen PO]])</f>
        <v>58</v>
      </c>
      <c r="AB96" s="47" t="str">
        <f>IF(RawDataGenPO[[#This Row],[GRN-PO date]]&gt;RawDataGenPO[[#This Row],[Lead time delivery (day)]],"over deliverry","Ontime")</f>
        <v>Ontime</v>
      </c>
      <c r="AC96" s="56" t="s">
        <v>223</v>
      </c>
      <c r="AD96" s="48"/>
    </row>
    <row r="97" spans="1:30" ht="14.25" x14ac:dyDescent="0.3">
      <c r="A97" s="28">
        <f>ROW()-ROW(RawDataGenPO[[#Headers],[No.]])</f>
        <v>96</v>
      </c>
      <c r="B97" s="33" t="s">
        <v>95</v>
      </c>
      <c r="C97" s="30">
        <v>46006</v>
      </c>
      <c r="D97" s="28" t="s">
        <v>247</v>
      </c>
      <c r="E97" s="28" t="s">
        <v>384</v>
      </c>
      <c r="F97" s="37">
        <v>46009</v>
      </c>
      <c r="G97" s="38">
        <v>120</v>
      </c>
      <c r="H97" s="28" t="s">
        <v>248</v>
      </c>
      <c r="I97" s="28">
        <v>1</v>
      </c>
      <c r="J97" s="39" t="s">
        <v>249</v>
      </c>
      <c r="K97" s="43">
        <v>1</v>
      </c>
      <c r="L97" s="28" t="s">
        <v>41</v>
      </c>
      <c r="M97" s="41">
        <f t="shared" si="3"/>
        <v>600</v>
      </c>
      <c r="N97" s="42">
        <v>600</v>
      </c>
      <c r="O97" s="43"/>
      <c r="P97" s="43"/>
      <c r="Q97" s="43"/>
      <c r="R97" s="43"/>
      <c r="S97" s="43"/>
      <c r="T97" s="43"/>
      <c r="U97" s="43">
        <f>RawDataGenPO[[#This Row],[Total price]]-RawDataGenPO[[#This Row],[Column1]]-RawDataGenPO[[#This Row],[Column14]]-RawDataGenPO[[#This Row],[Column13]]-RawDataGenPO[[#This Row],[Column12]]</f>
        <v>600</v>
      </c>
      <c r="V97" s="33" t="s">
        <v>385</v>
      </c>
      <c r="W97" s="44" t="s">
        <v>9</v>
      </c>
      <c r="Z97" s="45"/>
      <c r="AA97" s="46">
        <f>IF(RawDataGenPO[[#This Row],[Date Gen PO]]="","",RawDataGenPO[[#This Row],[Date recive bill]]-RawDataGenPO[[#This Row],[Date Gen PO]])</f>
        <v>-46009</v>
      </c>
      <c r="AB97" s="47" t="str">
        <f>IF(RawDataGenPO[[#This Row],[GRN-PO date]]&gt;RawDataGenPO[[#This Row],[Lead time delivery (day)]],"over deliverry","Ontime")</f>
        <v>Ontime</v>
      </c>
      <c r="AC97" s="56" t="s">
        <v>221</v>
      </c>
      <c r="AD97" s="48"/>
    </row>
    <row r="98" spans="1:30" ht="14.25" x14ac:dyDescent="0.3">
      <c r="A98" s="28">
        <f>ROW()-ROW(RawDataGenPO[[#Headers],[No.]])</f>
        <v>97</v>
      </c>
      <c r="B98" s="33" t="s">
        <v>95</v>
      </c>
      <c r="C98" s="30">
        <v>46006</v>
      </c>
      <c r="D98" s="28" t="s">
        <v>247</v>
      </c>
      <c r="E98" s="28" t="s">
        <v>384</v>
      </c>
      <c r="F98" s="37">
        <v>46009</v>
      </c>
      <c r="G98" s="38">
        <v>120</v>
      </c>
      <c r="H98" s="28" t="s">
        <v>248</v>
      </c>
      <c r="I98" s="28">
        <v>2</v>
      </c>
      <c r="J98" s="39" t="s">
        <v>250</v>
      </c>
      <c r="K98" s="43">
        <v>1</v>
      </c>
      <c r="L98" s="28" t="s">
        <v>41</v>
      </c>
      <c r="M98" s="41">
        <f t="shared" si="3"/>
        <v>600</v>
      </c>
      <c r="N98" s="42">
        <v>600</v>
      </c>
      <c r="O98" s="43"/>
      <c r="P98" s="43"/>
      <c r="Q98" s="43"/>
      <c r="R98" s="43"/>
      <c r="S98" s="43"/>
      <c r="T98" s="43"/>
      <c r="U98" s="43">
        <f>RawDataGenPO[[#This Row],[Total price]]-RawDataGenPO[[#This Row],[Column1]]-RawDataGenPO[[#This Row],[Column14]]-RawDataGenPO[[#This Row],[Column13]]-RawDataGenPO[[#This Row],[Column12]]</f>
        <v>600</v>
      </c>
      <c r="V98" s="33" t="s">
        <v>385</v>
      </c>
      <c r="W98" s="44" t="s">
        <v>9</v>
      </c>
      <c r="Z98" s="45"/>
      <c r="AA98" s="46">
        <f>IF(RawDataGenPO[[#This Row],[Date Gen PO]]="","",RawDataGenPO[[#This Row],[Date recive bill]]-RawDataGenPO[[#This Row],[Date Gen PO]])</f>
        <v>-46009</v>
      </c>
      <c r="AB98" s="47" t="str">
        <f>IF(RawDataGenPO[[#This Row],[GRN-PO date]]&gt;RawDataGenPO[[#This Row],[Lead time delivery (day)]],"over deliverry","Ontime")</f>
        <v>Ontime</v>
      </c>
      <c r="AC98" s="56" t="s">
        <v>221</v>
      </c>
      <c r="AD98" s="48"/>
    </row>
    <row r="99" spans="1:30" ht="14.25" x14ac:dyDescent="0.3">
      <c r="A99" s="28">
        <f>ROW()-ROW(RawDataGenPO[[#Headers],[No.]])</f>
        <v>98</v>
      </c>
      <c r="B99" s="33" t="s">
        <v>95</v>
      </c>
      <c r="C99" s="30">
        <v>46006</v>
      </c>
      <c r="D99" s="28" t="s">
        <v>247</v>
      </c>
      <c r="E99" s="28" t="s">
        <v>384</v>
      </c>
      <c r="F99" s="37">
        <v>46009</v>
      </c>
      <c r="G99" s="38">
        <v>120</v>
      </c>
      <c r="H99" s="28" t="s">
        <v>248</v>
      </c>
      <c r="I99" s="28">
        <v>3</v>
      </c>
      <c r="J99" s="39" t="s">
        <v>251</v>
      </c>
      <c r="K99" s="43">
        <v>1</v>
      </c>
      <c r="L99" s="28" t="s">
        <v>41</v>
      </c>
      <c r="M99" s="41">
        <f t="shared" si="3"/>
        <v>600</v>
      </c>
      <c r="N99" s="42">
        <v>600</v>
      </c>
      <c r="O99" s="43"/>
      <c r="P99" s="43"/>
      <c r="Q99" s="43"/>
      <c r="R99" s="43"/>
      <c r="S99" s="43"/>
      <c r="T99" s="43"/>
      <c r="U99" s="43">
        <f>RawDataGenPO[[#This Row],[Total price]]-RawDataGenPO[[#This Row],[Column1]]-RawDataGenPO[[#This Row],[Column14]]-RawDataGenPO[[#This Row],[Column13]]-RawDataGenPO[[#This Row],[Column12]]</f>
        <v>600</v>
      </c>
      <c r="V99" s="33" t="s">
        <v>385</v>
      </c>
      <c r="W99" s="44" t="s">
        <v>9</v>
      </c>
      <c r="Z99" s="45"/>
      <c r="AA99" s="46">
        <f>IF(RawDataGenPO[[#This Row],[Date Gen PO]]="","",RawDataGenPO[[#This Row],[Date recive bill]]-RawDataGenPO[[#This Row],[Date Gen PO]])</f>
        <v>-46009</v>
      </c>
      <c r="AB99" s="47" t="str">
        <f>IF(RawDataGenPO[[#This Row],[GRN-PO date]]&gt;RawDataGenPO[[#This Row],[Lead time delivery (day)]],"over deliverry","Ontime")</f>
        <v>Ontime</v>
      </c>
      <c r="AC99" s="56" t="s">
        <v>221</v>
      </c>
      <c r="AD99" s="48"/>
    </row>
    <row r="100" spans="1:30" ht="14.25" x14ac:dyDescent="0.3">
      <c r="A100" s="28">
        <f>ROW()-ROW(RawDataGenPO[[#Headers],[No.]])</f>
        <v>99</v>
      </c>
      <c r="B100" s="33" t="s">
        <v>95</v>
      </c>
      <c r="C100" s="30">
        <v>46006</v>
      </c>
      <c r="D100" s="28" t="s">
        <v>247</v>
      </c>
      <c r="E100" s="28" t="s">
        <v>384</v>
      </c>
      <c r="F100" s="37">
        <v>46009</v>
      </c>
      <c r="G100" s="38">
        <v>120</v>
      </c>
      <c r="H100" s="28" t="s">
        <v>248</v>
      </c>
      <c r="I100" s="28">
        <v>4</v>
      </c>
      <c r="J100" s="39" t="s">
        <v>252</v>
      </c>
      <c r="K100" s="43">
        <v>1</v>
      </c>
      <c r="L100" s="28" t="s">
        <v>41</v>
      </c>
      <c r="M100" s="41">
        <f t="shared" si="3"/>
        <v>600</v>
      </c>
      <c r="N100" s="42">
        <v>600</v>
      </c>
      <c r="O100" s="43"/>
      <c r="P100" s="43"/>
      <c r="Q100" s="43"/>
      <c r="R100" s="43"/>
      <c r="S100" s="43"/>
      <c r="T100" s="43"/>
      <c r="U100" s="43">
        <f>RawDataGenPO[[#This Row],[Total price]]-RawDataGenPO[[#This Row],[Column1]]-RawDataGenPO[[#This Row],[Column14]]-RawDataGenPO[[#This Row],[Column13]]-RawDataGenPO[[#This Row],[Column12]]</f>
        <v>600</v>
      </c>
      <c r="V100" s="33" t="s">
        <v>385</v>
      </c>
      <c r="W100" s="44" t="s">
        <v>9</v>
      </c>
      <c r="Z100" s="45"/>
      <c r="AA100" s="46">
        <f>IF(RawDataGenPO[[#This Row],[Date Gen PO]]="","",RawDataGenPO[[#This Row],[Date recive bill]]-RawDataGenPO[[#This Row],[Date Gen PO]])</f>
        <v>-46009</v>
      </c>
      <c r="AB100" s="47" t="str">
        <f>IF(RawDataGenPO[[#This Row],[GRN-PO date]]&gt;RawDataGenPO[[#This Row],[Lead time delivery (day)]],"over deliverry","Ontime")</f>
        <v>Ontime</v>
      </c>
      <c r="AC100" s="56" t="s">
        <v>221</v>
      </c>
      <c r="AD100" s="48"/>
    </row>
    <row r="101" spans="1:30" ht="14.25" x14ac:dyDescent="0.3">
      <c r="A101" s="28">
        <f>ROW()-ROW(RawDataGenPO[[#Headers],[No.]])</f>
        <v>100</v>
      </c>
      <c r="B101" s="33" t="s">
        <v>95</v>
      </c>
      <c r="C101" s="30">
        <v>46006</v>
      </c>
      <c r="D101" s="28" t="s">
        <v>247</v>
      </c>
      <c r="E101" s="28" t="s">
        <v>384</v>
      </c>
      <c r="F101" s="37">
        <v>46009</v>
      </c>
      <c r="G101" s="38">
        <v>120</v>
      </c>
      <c r="H101" s="28" t="s">
        <v>248</v>
      </c>
      <c r="I101" s="28">
        <v>5</v>
      </c>
      <c r="J101" s="39" t="s">
        <v>253</v>
      </c>
      <c r="K101" s="43">
        <v>1</v>
      </c>
      <c r="L101" s="28" t="s">
        <v>41</v>
      </c>
      <c r="M101" s="41">
        <f t="shared" si="3"/>
        <v>600</v>
      </c>
      <c r="N101" s="42">
        <v>600</v>
      </c>
      <c r="O101" s="43"/>
      <c r="P101" s="43"/>
      <c r="Q101" s="43"/>
      <c r="R101" s="43"/>
      <c r="S101" s="43"/>
      <c r="T101" s="43"/>
      <c r="U101" s="43">
        <f>RawDataGenPO[[#This Row],[Total price]]-RawDataGenPO[[#This Row],[Column1]]-RawDataGenPO[[#This Row],[Column14]]-RawDataGenPO[[#This Row],[Column13]]-RawDataGenPO[[#This Row],[Column12]]</f>
        <v>600</v>
      </c>
      <c r="V101" s="33" t="s">
        <v>385</v>
      </c>
      <c r="W101" s="44" t="s">
        <v>9</v>
      </c>
      <c r="Z101" s="45"/>
      <c r="AA101" s="46">
        <f>IF(RawDataGenPO[[#This Row],[Date Gen PO]]="","",RawDataGenPO[[#This Row],[Date recive bill]]-RawDataGenPO[[#This Row],[Date Gen PO]])</f>
        <v>-46009</v>
      </c>
      <c r="AB101" s="47" t="str">
        <f>IF(RawDataGenPO[[#This Row],[GRN-PO date]]&gt;RawDataGenPO[[#This Row],[Lead time delivery (day)]],"over deliverry","Ontime")</f>
        <v>Ontime</v>
      </c>
      <c r="AC101" s="56" t="s">
        <v>221</v>
      </c>
      <c r="AD101" s="48"/>
    </row>
    <row r="102" spans="1:30" ht="14.25" x14ac:dyDescent="0.3">
      <c r="A102" s="28">
        <f>ROW()-ROW(RawDataGenPO[[#Headers],[No.]])</f>
        <v>101</v>
      </c>
      <c r="B102" s="33" t="s">
        <v>95</v>
      </c>
      <c r="C102" s="30">
        <v>46006</v>
      </c>
      <c r="D102" s="28" t="s">
        <v>247</v>
      </c>
      <c r="E102" s="28" t="s">
        <v>384</v>
      </c>
      <c r="F102" s="37">
        <v>46009</v>
      </c>
      <c r="G102" s="38">
        <v>120</v>
      </c>
      <c r="H102" s="28" t="s">
        <v>248</v>
      </c>
      <c r="I102" s="28">
        <v>6</v>
      </c>
      <c r="J102" s="39" t="s">
        <v>254</v>
      </c>
      <c r="K102" s="43">
        <v>1</v>
      </c>
      <c r="L102" s="28" t="s">
        <v>41</v>
      </c>
      <c r="M102" s="41">
        <f t="shared" ref="M102:M133" si="4">N102/K102</f>
        <v>600</v>
      </c>
      <c r="N102" s="42">
        <v>600</v>
      </c>
      <c r="O102" s="43"/>
      <c r="P102" s="43"/>
      <c r="Q102" s="43"/>
      <c r="R102" s="43"/>
      <c r="S102" s="43"/>
      <c r="T102" s="43"/>
      <c r="U102" s="43">
        <f>RawDataGenPO[[#This Row],[Total price]]-RawDataGenPO[[#This Row],[Column1]]-RawDataGenPO[[#This Row],[Column14]]-RawDataGenPO[[#This Row],[Column13]]-RawDataGenPO[[#This Row],[Column12]]</f>
        <v>600</v>
      </c>
      <c r="V102" s="33" t="s">
        <v>385</v>
      </c>
      <c r="W102" s="44" t="s">
        <v>9</v>
      </c>
      <c r="Z102" s="45"/>
      <c r="AA102" s="46">
        <f>IF(RawDataGenPO[[#This Row],[Date Gen PO]]="","",RawDataGenPO[[#This Row],[Date recive bill]]-RawDataGenPO[[#This Row],[Date Gen PO]])</f>
        <v>-46009</v>
      </c>
      <c r="AB102" s="47" t="str">
        <f>IF(RawDataGenPO[[#This Row],[GRN-PO date]]&gt;RawDataGenPO[[#This Row],[Lead time delivery (day)]],"over deliverry","Ontime")</f>
        <v>Ontime</v>
      </c>
      <c r="AC102" s="56" t="s">
        <v>221</v>
      </c>
      <c r="AD102" s="48"/>
    </row>
    <row r="103" spans="1:30" ht="14.25" x14ac:dyDescent="0.3">
      <c r="A103" s="28">
        <f>ROW()-ROW(RawDataGenPO[[#Headers],[No.]])</f>
        <v>102</v>
      </c>
      <c r="B103" s="33" t="s">
        <v>95</v>
      </c>
      <c r="C103" s="30">
        <v>46006</v>
      </c>
      <c r="D103" s="28" t="s">
        <v>247</v>
      </c>
      <c r="E103" s="28" t="s">
        <v>384</v>
      </c>
      <c r="F103" s="37">
        <v>46009</v>
      </c>
      <c r="G103" s="38">
        <v>120</v>
      </c>
      <c r="H103" s="28" t="s">
        <v>248</v>
      </c>
      <c r="I103" s="28">
        <v>7</v>
      </c>
      <c r="J103" s="39" t="s">
        <v>255</v>
      </c>
      <c r="K103" s="43">
        <v>1</v>
      </c>
      <c r="L103" s="28" t="s">
        <v>41</v>
      </c>
      <c r="M103" s="41">
        <f t="shared" si="4"/>
        <v>600</v>
      </c>
      <c r="N103" s="42">
        <v>600</v>
      </c>
      <c r="O103" s="43"/>
      <c r="P103" s="43"/>
      <c r="Q103" s="43"/>
      <c r="R103" s="43"/>
      <c r="S103" s="43"/>
      <c r="T103" s="43"/>
      <c r="U103" s="43">
        <f>RawDataGenPO[[#This Row],[Total price]]-RawDataGenPO[[#This Row],[Column1]]-RawDataGenPO[[#This Row],[Column14]]-RawDataGenPO[[#This Row],[Column13]]-RawDataGenPO[[#This Row],[Column12]]</f>
        <v>600</v>
      </c>
      <c r="V103" s="33" t="s">
        <v>385</v>
      </c>
      <c r="W103" s="44" t="s">
        <v>9</v>
      </c>
      <c r="Z103" s="45"/>
      <c r="AA103" s="46">
        <f>IF(RawDataGenPO[[#This Row],[Date Gen PO]]="","",RawDataGenPO[[#This Row],[Date recive bill]]-RawDataGenPO[[#This Row],[Date Gen PO]])</f>
        <v>-46009</v>
      </c>
      <c r="AB103" s="47" t="str">
        <f>IF(RawDataGenPO[[#This Row],[GRN-PO date]]&gt;RawDataGenPO[[#This Row],[Lead time delivery (day)]],"over deliverry","Ontime")</f>
        <v>Ontime</v>
      </c>
      <c r="AC103" s="56" t="s">
        <v>221</v>
      </c>
      <c r="AD103" s="48"/>
    </row>
    <row r="104" spans="1:30" ht="14.25" x14ac:dyDescent="0.3">
      <c r="A104" s="28">
        <f>ROW()-ROW(RawDataGenPO[[#Headers],[No.]])</f>
        <v>103</v>
      </c>
      <c r="B104" s="33" t="s">
        <v>95</v>
      </c>
      <c r="C104" s="30">
        <v>46006</v>
      </c>
      <c r="D104" s="28" t="s">
        <v>247</v>
      </c>
      <c r="E104" s="28" t="s">
        <v>384</v>
      </c>
      <c r="F104" s="37">
        <v>46009</v>
      </c>
      <c r="G104" s="38">
        <v>120</v>
      </c>
      <c r="H104" s="28" t="s">
        <v>248</v>
      </c>
      <c r="I104" s="28">
        <v>8</v>
      </c>
      <c r="J104" s="39" t="s">
        <v>256</v>
      </c>
      <c r="K104" s="43">
        <v>1</v>
      </c>
      <c r="L104" s="28" t="s">
        <v>41</v>
      </c>
      <c r="M104" s="41">
        <f t="shared" si="4"/>
        <v>600</v>
      </c>
      <c r="N104" s="42">
        <v>600</v>
      </c>
      <c r="O104" s="43"/>
      <c r="P104" s="43"/>
      <c r="Q104" s="43"/>
      <c r="R104" s="43"/>
      <c r="S104" s="43"/>
      <c r="T104" s="43"/>
      <c r="U104" s="43">
        <f>RawDataGenPO[[#This Row],[Total price]]-RawDataGenPO[[#This Row],[Column1]]-RawDataGenPO[[#This Row],[Column14]]-RawDataGenPO[[#This Row],[Column13]]-RawDataGenPO[[#This Row],[Column12]]</f>
        <v>600</v>
      </c>
      <c r="V104" s="33" t="s">
        <v>385</v>
      </c>
      <c r="W104" s="44" t="s">
        <v>9</v>
      </c>
      <c r="Z104" s="45"/>
      <c r="AA104" s="46">
        <f>IF(RawDataGenPO[[#This Row],[Date Gen PO]]="","",RawDataGenPO[[#This Row],[Date recive bill]]-RawDataGenPO[[#This Row],[Date Gen PO]])</f>
        <v>-46009</v>
      </c>
      <c r="AB104" s="47" t="str">
        <f>IF(RawDataGenPO[[#This Row],[GRN-PO date]]&gt;RawDataGenPO[[#This Row],[Lead time delivery (day)]],"over deliverry","Ontime")</f>
        <v>Ontime</v>
      </c>
      <c r="AC104" s="56" t="s">
        <v>221</v>
      </c>
      <c r="AD104" s="48"/>
    </row>
    <row r="105" spans="1:30" ht="14.25" x14ac:dyDescent="0.3">
      <c r="A105" s="28">
        <f>ROW()-ROW(RawDataGenPO[[#Headers],[No.]])</f>
        <v>104</v>
      </c>
      <c r="B105" s="33" t="s">
        <v>95</v>
      </c>
      <c r="C105" s="30">
        <v>46006</v>
      </c>
      <c r="D105" s="28" t="s">
        <v>247</v>
      </c>
      <c r="E105" s="28" t="s">
        <v>384</v>
      </c>
      <c r="F105" s="37">
        <v>46009</v>
      </c>
      <c r="G105" s="38">
        <v>120</v>
      </c>
      <c r="H105" s="28" t="s">
        <v>248</v>
      </c>
      <c r="I105" s="28">
        <v>9</v>
      </c>
      <c r="J105" s="39" t="s">
        <v>257</v>
      </c>
      <c r="K105" s="43">
        <v>1</v>
      </c>
      <c r="L105" s="28" t="s">
        <v>41</v>
      </c>
      <c r="M105" s="41">
        <f t="shared" si="4"/>
        <v>600</v>
      </c>
      <c r="N105" s="42">
        <v>600</v>
      </c>
      <c r="O105" s="43"/>
      <c r="P105" s="43"/>
      <c r="Q105" s="43"/>
      <c r="R105" s="43"/>
      <c r="S105" s="43"/>
      <c r="T105" s="43"/>
      <c r="U105" s="43">
        <f>RawDataGenPO[[#This Row],[Total price]]-RawDataGenPO[[#This Row],[Column1]]-RawDataGenPO[[#This Row],[Column14]]-RawDataGenPO[[#This Row],[Column13]]-RawDataGenPO[[#This Row],[Column12]]</f>
        <v>600</v>
      </c>
      <c r="V105" s="33" t="s">
        <v>385</v>
      </c>
      <c r="W105" s="44" t="s">
        <v>9</v>
      </c>
      <c r="Z105" s="45"/>
      <c r="AA105" s="46">
        <f>IF(RawDataGenPO[[#This Row],[Date Gen PO]]="","",RawDataGenPO[[#This Row],[Date recive bill]]-RawDataGenPO[[#This Row],[Date Gen PO]])</f>
        <v>-46009</v>
      </c>
      <c r="AB105" s="47" t="str">
        <f>IF(RawDataGenPO[[#This Row],[GRN-PO date]]&gt;RawDataGenPO[[#This Row],[Lead time delivery (day)]],"over deliverry","Ontime")</f>
        <v>Ontime</v>
      </c>
      <c r="AC105" s="56" t="s">
        <v>221</v>
      </c>
      <c r="AD105" s="48"/>
    </row>
    <row r="106" spans="1:30" ht="14.25" x14ac:dyDescent="0.3">
      <c r="A106" s="28">
        <f>ROW()-ROW(RawDataGenPO[[#Headers],[No.]])</f>
        <v>105</v>
      </c>
      <c r="B106" s="33" t="s">
        <v>95</v>
      </c>
      <c r="C106" s="30">
        <v>46006</v>
      </c>
      <c r="D106" s="28" t="s">
        <v>247</v>
      </c>
      <c r="E106" s="28" t="s">
        <v>384</v>
      </c>
      <c r="F106" s="37">
        <v>46009</v>
      </c>
      <c r="G106" s="38">
        <v>120</v>
      </c>
      <c r="H106" s="28" t="s">
        <v>248</v>
      </c>
      <c r="I106" s="28">
        <v>10</v>
      </c>
      <c r="J106" s="39" t="s">
        <v>258</v>
      </c>
      <c r="K106" s="43">
        <v>1</v>
      </c>
      <c r="L106" s="28" t="s">
        <v>41</v>
      </c>
      <c r="M106" s="41">
        <f t="shared" si="4"/>
        <v>600</v>
      </c>
      <c r="N106" s="42">
        <v>600</v>
      </c>
      <c r="O106" s="43"/>
      <c r="P106" s="43"/>
      <c r="Q106" s="43"/>
      <c r="R106" s="43"/>
      <c r="S106" s="43"/>
      <c r="T106" s="43"/>
      <c r="U106" s="43">
        <f>RawDataGenPO[[#This Row],[Total price]]-RawDataGenPO[[#This Row],[Column1]]-RawDataGenPO[[#This Row],[Column14]]-RawDataGenPO[[#This Row],[Column13]]-RawDataGenPO[[#This Row],[Column12]]</f>
        <v>600</v>
      </c>
      <c r="V106" s="33" t="s">
        <v>385</v>
      </c>
      <c r="W106" s="44" t="s">
        <v>9</v>
      </c>
      <c r="Z106" s="45"/>
      <c r="AA106" s="46">
        <f>IF(RawDataGenPO[[#This Row],[Date Gen PO]]="","",RawDataGenPO[[#This Row],[Date recive bill]]-RawDataGenPO[[#This Row],[Date Gen PO]])</f>
        <v>-46009</v>
      </c>
      <c r="AB106" s="47" t="str">
        <f>IF(RawDataGenPO[[#This Row],[GRN-PO date]]&gt;RawDataGenPO[[#This Row],[Lead time delivery (day)]],"over deliverry","Ontime")</f>
        <v>Ontime</v>
      </c>
      <c r="AC106" s="56" t="s">
        <v>221</v>
      </c>
      <c r="AD106" s="48"/>
    </row>
    <row r="107" spans="1:30" ht="28.5" x14ac:dyDescent="0.3">
      <c r="A107" s="28">
        <f>ROW()-ROW(RawDataGenPO[[#Headers],[No.]])</f>
        <v>106</v>
      </c>
      <c r="B107" s="33" t="s">
        <v>95</v>
      </c>
      <c r="C107" s="30">
        <v>46006</v>
      </c>
      <c r="D107" s="28" t="s">
        <v>247</v>
      </c>
      <c r="E107" s="28" t="s">
        <v>384</v>
      </c>
      <c r="F107" s="37">
        <v>46009</v>
      </c>
      <c r="G107" s="38">
        <v>120</v>
      </c>
      <c r="H107" s="28" t="s">
        <v>248</v>
      </c>
      <c r="I107" s="28">
        <v>11</v>
      </c>
      <c r="J107" s="39" t="s">
        <v>259</v>
      </c>
      <c r="K107" s="43">
        <v>1</v>
      </c>
      <c r="L107" s="28" t="s">
        <v>41</v>
      </c>
      <c r="M107" s="41">
        <f t="shared" si="4"/>
        <v>1500</v>
      </c>
      <c r="N107" s="42">
        <v>1500</v>
      </c>
      <c r="O107" s="43"/>
      <c r="P107" s="43"/>
      <c r="Q107" s="43"/>
      <c r="R107" s="43"/>
      <c r="S107" s="43"/>
      <c r="T107" s="43"/>
      <c r="U107" s="43">
        <f>RawDataGenPO[[#This Row],[Total price]]-RawDataGenPO[[#This Row],[Column1]]-RawDataGenPO[[#This Row],[Column14]]-RawDataGenPO[[#This Row],[Column13]]-RawDataGenPO[[#This Row],[Column12]]</f>
        <v>1500</v>
      </c>
      <c r="V107" s="33" t="s">
        <v>385</v>
      </c>
      <c r="W107" s="44" t="s">
        <v>9</v>
      </c>
      <c r="Z107" s="45"/>
      <c r="AA107" s="46">
        <f>IF(RawDataGenPO[[#This Row],[Date Gen PO]]="","",RawDataGenPO[[#This Row],[Date recive bill]]-RawDataGenPO[[#This Row],[Date Gen PO]])</f>
        <v>-46009</v>
      </c>
      <c r="AB107" s="47" t="str">
        <f>IF(RawDataGenPO[[#This Row],[GRN-PO date]]&gt;RawDataGenPO[[#This Row],[Lead time delivery (day)]],"over deliverry","Ontime")</f>
        <v>Ontime</v>
      </c>
      <c r="AC107" s="56" t="s">
        <v>221</v>
      </c>
      <c r="AD107" s="48"/>
    </row>
    <row r="108" spans="1:30" ht="14.25" x14ac:dyDescent="0.3">
      <c r="A108" s="28">
        <f>ROW()-ROW(RawDataGenPO[[#Headers],[No.]])</f>
        <v>107</v>
      </c>
      <c r="B108" s="33" t="s">
        <v>95</v>
      </c>
      <c r="C108" s="30">
        <v>46006</v>
      </c>
      <c r="D108" s="28" t="s">
        <v>261</v>
      </c>
      <c r="E108" s="28" t="s">
        <v>386</v>
      </c>
      <c r="F108" s="37">
        <v>46009</v>
      </c>
      <c r="G108" s="38">
        <v>120</v>
      </c>
      <c r="H108" s="28" t="s">
        <v>37</v>
      </c>
      <c r="I108" s="28">
        <v>1</v>
      </c>
      <c r="J108" s="39" t="s">
        <v>260</v>
      </c>
      <c r="K108" s="43">
        <v>12</v>
      </c>
      <c r="L108" s="28" t="s">
        <v>38</v>
      </c>
      <c r="M108" s="41">
        <f t="shared" si="4"/>
        <v>771.96</v>
      </c>
      <c r="N108" s="42">
        <v>9263.52</v>
      </c>
      <c r="O108" s="43"/>
      <c r="P108" s="43">
        <v>9263.52</v>
      </c>
      <c r="Q108" s="43"/>
      <c r="R108" s="43"/>
      <c r="S108" s="43"/>
      <c r="T108" s="43"/>
      <c r="U108" s="43">
        <f>RawDataGenPO[[#This Row],[Total price]]-RawDataGenPO[[#This Row],[Column1]]-RawDataGenPO[[#This Row],[Column14]]-RawDataGenPO[[#This Row],[Column13]]-RawDataGenPO[[#This Row],[Column12]]</f>
        <v>0</v>
      </c>
      <c r="V108" s="33" t="s">
        <v>387</v>
      </c>
      <c r="W108" s="44" t="s">
        <v>8</v>
      </c>
      <c r="X108" s="28" t="s">
        <v>443</v>
      </c>
      <c r="Y108" s="35">
        <v>46045</v>
      </c>
      <c r="Z108" s="45"/>
      <c r="AA108" s="46">
        <f>IF(RawDataGenPO[[#This Row],[Date Gen PO]]="","",RawDataGenPO[[#This Row],[Date recive bill]]-RawDataGenPO[[#This Row],[Date Gen PO]])</f>
        <v>36</v>
      </c>
      <c r="AB108" s="47" t="str">
        <f>IF(RawDataGenPO[[#This Row],[GRN-PO date]]&gt;RawDataGenPO[[#This Row],[Lead time delivery (day)]],"over deliverry","Ontime")</f>
        <v>Ontime</v>
      </c>
      <c r="AC108" s="56" t="s">
        <v>219</v>
      </c>
      <c r="AD108" s="48"/>
    </row>
    <row r="109" spans="1:30" ht="14.25" x14ac:dyDescent="0.3">
      <c r="A109" s="28">
        <f>ROW()-ROW(RawDataGenPO[[#Headers],[No.]])</f>
        <v>108</v>
      </c>
      <c r="B109" s="33" t="s">
        <v>95</v>
      </c>
      <c r="C109" s="30">
        <v>46006</v>
      </c>
      <c r="D109" s="28" t="s">
        <v>261</v>
      </c>
      <c r="E109" s="28" t="s">
        <v>386</v>
      </c>
      <c r="F109" s="37">
        <v>46009</v>
      </c>
      <c r="G109" s="38">
        <v>120</v>
      </c>
      <c r="H109" s="28" t="s">
        <v>37</v>
      </c>
      <c r="I109" s="28">
        <v>2</v>
      </c>
      <c r="J109" s="39" t="s">
        <v>262</v>
      </c>
      <c r="K109" s="43">
        <v>60</v>
      </c>
      <c r="L109" s="28" t="s">
        <v>38</v>
      </c>
      <c r="M109" s="41">
        <f t="shared" si="4"/>
        <v>2021.5</v>
      </c>
      <c r="N109" s="42">
        <v>121290</v>
      </c>
      <c r="O109" s="43"/>
      <c r="P109" s="43">
        <v>121290</v>
      </c>
      <c r="Q109" s="43"/>
      <c r="R109" s="43"/>
      <c r="S109" s="43"/>
      <c r="T109" s="43"/>
      <c r="U109" s="43">
        <f>RawDataGenPO[[#This Row],[Total price]]-RawDataGenPO[[#This Row],[Column1]]-RawDataGenPO[[#This Row],[Column14]]-RawDataGenPO[[#This Row],[Column13]]-RawDataGenPO[[#This Row],[Column12]]</f>
        <v>0</v>
      </c>
      <c r="V109" s="33" t="s">
        <v>387</v>
      </c>
      <c r="W109" s="44" t="s">
        <v>8</v>
      </c>
      <c r="X109" s="28" t="s">
        <v>443</v>
      </c>
      <c r="Y109" s="35">
        <v>46045</v>
      </c>
      <c r="Z109" s="45"/>
      <c r="AA109" s="46">
        <f>IF(RawDataGenPO[[#This Row],[Date Gen PO]]="","",RawDataGenPO[[#This Row],[Date recive bill]]-RawDataGenPO[[#This Row],[Date Gen PO]])</f>
        <v>36</v>
      </c>
      <c r="AB109" s="47" t="str">
        <f>IF(RawDataGenPO[[#This Row],[GRN-PO date]]&gt;RawDataGenPO[[#This Row],[Lead time delivery (day)]],"over deliverry","Ontime")</f>
        <v>Ontime</v>
      </c>
      <c r="AC109" s="56" t="s">
        <v>219</v>
      </c>
      <c r="AD109" s="48"/>
    </row>
    <row r="110" spans="1:30" ht="14.25" x14ac:dyDescent="0.3">
      <c r="A110" s="28">
        <f>ROW()-ROW(RawDataGenPO[[#Headers],[No.]])</f>
        <v>109</v>
      </c>
      <c r="B110" s="33" t="s">
        <v>14</v>
      </c>
      <c r="C110" s="30">
        <v>46006</v>
      </c>
      <c r="D110" s="28" t="s">
        <v>263</v>
      </c>
      <c r="E110" s="28" t="s">
        <v>388</v>
      </c>
      <c r="F110" s="37">
        <v>46009</v>
      </c>
      <c r="G110" s="38">
        <v>60</v>
      </c>
      <c r="H110" s="28" t="s">
        <v>40</v>
      </c>
      <c r="I110" s="28">
        <v>1</v>
      </c>
      <c r="J110" s="39" t="s">
        <v>264</v>
      </c>
      <c r="K110" s="43">
        <v>72</v>
      </c>
      <c r="L110" s="28" t="s">
        <v>38</v>
      </c>
      <c r="M110" s="41">
        <f t="shared" si="4"/>
        <v>6705.61</v>
      </c>
      <c r="N110" s="42">
        <v>482803.92</v>
      </c>
      <c r="O110" s="43"/>
      <c r="P110" s="57">
        <v>134112.20000000001</v>
      </c>
      <c r="Q110" s="57">
        <v>348691.72</v>
      </c>
      <c r="R110" s="57"/>
      <c r="S110" s="57"/>
      <c r="T110" s="57"/>
      <c r="U110" s="57">
        <f>RawDataGenPO[[#This Row],[Total price]]-RawDataGenPO[[#This Row],[Column1]]-RawDataGenPO[[#This Row],[Column14]]-RawDataGenPO[[#This Row],[Column13]]-RawDataGenPO[[#This Row],[Column12]]</f>
        <v>0</v>
      </c>
      <c r="V110" s="33" t="s">
        <v>387</v>
      </c>
      <c r="W110" s="44" t="s">
        <v>8</v>
      </c>
      <c r="X110" s="31" t="s">
        <v>417</v>
      </c>
      <c r="Y110" s="35">
        <v>46042</v>
      </c>
      <c r="Z110" s="45"/>
      <c r="AA110" s="46">
        <f>IF(RawDataGenPO[[#This Row],[Date Gen PO]]="","",RawDataGenPO[[#This Row],[Date recive bill]]-RawDataGenPO[[#This Row],[Date Gen PO]])</f>
        <v>33</v>
      </c>
      <c r="AB110" s="47" t="str">
        <f>IF(RawDataGenPO[[#This Row],[GRN-PO date]]&gt;RawDataGenPO[[#This Row],[Lead time delivery (day)]],"over deliverry","Ontime")</f>
        <v>Ontime</v>
      </c>
      <c r="AC110" s="56" t="s">
        <v>219</v>
      </c>
      <c r="AD110" s="48"/>
    </row>
    <row r="111" spans="1:30" ht="14.25" x14ac:dyDescent="0.3">
      <c r="A111" s="28">
        <f>ROW()-ROW(RawDataGenPO[[#Headers],[No.]])</f>
        <v>110</v>
      </c>
      <c r="B111" s="33" t="s">
        <v>95</v>
      </c>
      <c r="C111" s="30">
        <v>46009</v>
      </c>
      <c r="D111" s="28" t="s">
        <v>278</v>
      </c>
      <c r="E111" s="28" t="s">
        <v>295</v>
      </c>
      <c r="F111" s="37">
        <v>46015</v>
      </c>
      <c r="G111" s="38">
        <v>60</v>
      </c>
      <c r="H111" s="28" t="s">
        <v>37</v>
      </c>
      <c r="I111" s="28">
        <v>1</v>
      </c>
      <c r="J111" s="39" t="s">
        <v>279</v>
      </c>
      <c r="K111" s="43">
        <v>69</v>
      </c>
      <c r="L111" s="28" t="s">
        <v>38</v>
      </c>
      <c r="M111" s="41">
        <f t="shared" si="4"/>
        <v>960</v>
      </c>
      <c r="N111" s="42">
        <v>66240</v>
      </c>
      <c r="O111" s="43"/>
      <c r="P111" s="43"/>
      <c r="Q111" s="43"/>
      <c r="R111" s="43"/>
      <c r="S111" s="43"/>
      <c r="T111" s="43"/>
      <c r="U111" s="43">
        <f>RawDataGenPO[[#This Row],[Total price]]-RawDataGenPO[[#This Row],[Column1]]-RawDataGenPO[[#This Row],[Column14]]-RawDataGenPO[[#This Row],[Column13]]-RawDataGenPO[[#This Row],[Column12]]</f>
        <v>66240</v>
      </c>
      <c r="V111" s="33" t="s">
        <v>151</v>
      </c>
      <c r="W111" s="44" t="s">
        <v>9</v>
      </c>
      <c r="Z111" s="45"/>
      <c r="AA111" s="46">
        <f>IF(RawDataGenPO[[#This Row],[Date Gen PO]]="","",RawDataGenPO[[#This Row],[Date recive bill]]-RawDataGenPO[[#This Row],[Date Gen PO]])</f>
        <v>-46015</v>
      </c>
      <c r="AB111" s="47" t="str">
        <f>IF(RawDataGenPO[[#This Row],[GRN-PO date]]&gt;RawDataGenPO[[#This Row],[Lead time delivery (day)]],"over deliverry","Ontime")</f>
        <v>Ontime</v>
      </c>
      <c r="AC111" s="56" t="s">
        <v>219</v>
      </c>
      <c r="AD111" s="48"/>
    </row>
    <row r="112" spans="1:30" ht="28.5" x14ac:dyDescent="0.3">
      <c r="A112" s="28">
        <f>ROW()-ROW(RawDataGenPO[[#Headers],[No.]])</f>
        <v>111</v>
      </c>
      <c r="B112" s="33" t="s">
        <v>95</v>
      </c>
      <c r="C112" s="30">
        <v>46009</v>
      </c>
      <c r="D112" s="28" t="s">
        <v>278</v>
      </c>
      <c r="E112" s="28" t="s">
        <v>295</v>
      </c>
      <c r="F112" s="37">
        <v>46015</v>
      </c>
      <c r="G112" s="38">
        <v>60</v>
      </c>
      <c r="H112" s="28" t="s">
        <v>37</v>
      </c>
      <c r="I112" s="28">
        <v>2</v>
      </c>
      <c r="J112" s="39" t="s">
        <v>280</v>
      </c>
      <c r="K112" s="43">
        <v>69</v>
      </c>
      <c r="L112" s="28" t="s">
        <v>38</v>
      </c>
      <c r="M112" s="41">
        <f t="shared" si="4"/>
        <v>960</v>
      </c>
      <c r="N112" s="42">
        <v>66240</v>
      </c>
      <c r="O112" s="43"/>
      <c r="P112" s="43"/>
      <c r="Q112" s="43"/>
      <c r="R112" s="43"/>
      <c r="S112" s="43"/>
      <c r="T112" s="43"/>
      <c r="U112" s="43">
        <f>RawDataGenPO[[#This Row],[Total price]]-RawDataGenPO[[#This Row],[Column1]]-RawDataGenPO[[#This Row],[Column14]]-RawDataGenPO[[#This Row],[Column13]]-RawDataGenPO[[#This Row],[Column12]]</f>
        <v>66240</v>
      </c>
      <c r="V112" s="33" t="s">
        <v>151</v>
      </c>
      <c r="W112" s="44" t="s">
        <v>9</v>
      </c>
      <c r="Z112" s="45"/>
      <c r="AA112" s="46">
        <f>IF(RawDataGenPO[[#This Row],[Date Gen PO]]="","",RawDataGenPO[[#This Row],[Date recive bill]]-RawDataGenPO[[#This Row],[Date Gen PO]])</f>
        <v>-46015</v>
      </c>
      <c r="AB112" s="47" t="str">
        <f>IF(RawDataGenPO[[#This Row],[GRN-PO date]]&gt;RawDataGenPO[[#This Row],[Lead time delivery (day)]],"over deliverry","Ontime")</f>
        <v>Ontime</v>
      </c>
      <c r="AC112" s="56" t="s">
        <v>219</v>
      </c>
      <c r="AD112" s="48"/>
    </row>
    <row r="113" spans="1:30" ht="14.25" x14ac:dyDescent="0.3">
      <c r="A113" s="28">
        <f>ROW()-ROW(RawDataGenPO[[#Headers],[No.]])</f>
        <v>112</v>
      </c>
      <c r="B113" s="33" t="s">
        <v>95</v>
      </c>
      <c r="C113" s="30">
        <v>46009</v>
      </c>
      <c r="D113" s="28" t="s">
        <v>278</v>
      </c>
      <c r="E113" s="28" t="s">
        <v>295</v>
      </c>
      <c r="F113" s="37">
        <v>46015</v>
      </c>
      <c r="G113" s="38">
        <v>60</v>
      </c>
      <c r="H113" s="28" t="s">
        <v>37</v>
      </c>
      <c r="I113" s="28">
        <v>3</v>
      </c>
      <c r="J113" s="39" t="s">
        <v>281</v>
      </c>
      <c r="K113" s="43">
        <v>12</v>
      </c>
      <c r="L113" s="28" t="s">
        <v>38</v>
      </c>
      <c r="M113" s="41">
        <f t="shared" si="4"/>
        <v>70</v>
      </c>
      <c r="N113" s="42">
        <v>840</v>
      </c>
      <c r="O113" s="43"/>
      <c r="P113" s="59">
        <v>840</v>
      </c>
      <c r="Q113" s="59"/>
      <c r="R113" s="59"/>
      <c r="S113" s="59"/>
      <c r="T113" s="59"/>
      <c r="U113" s="59">
        <f>RawDataGenPO[[#This Row],[Total price]]-RawDataGenPO[[#This Row],[Column1]]-RawDataGenPO[[#This Row],[Column14]]-RawDataGenPO[[#This Row],[Column13]]-RawDataGenPO[[#This Row],[Column12]]</f>
        <v>0</v>
      </c>
      <c r="V113" s="33" t="s">
        <v>151</v>
      </c>
      <c r="W113" s="44" t="s">
        <v>8</v>
      </c>
      <c r="X113" s="28" t="s">
        <v>411</v>
      </c>
      <c r="Y113" s="35">
        <v>46039</v>
      </c>
      <c r="Z113" s="45"/>
      <c r="AA113" s="46">
        <f>IF(RawDataGenPO[[#This Row],[Date Gen PO]]="","",RawDataGenPO[[#This Row],[Date recive bill]]-RawDataGenPO[[#This Row],[Date Gen PO]])</f>
        <v>24</v>
      </c>
      <c r="AB113" s="47" t="str">
        <f>IF(RawDataGenPO[[#This Row],[GRN-PO date]]&gt;RawDataGenPO[[#This Row],[Lead time delivery (day)]],"over deliverry","Ontime")</f>
        <v>Ontime</v>
      </c>
      <c r="AC113" s="56" t="s">
        <v>219</v>
      </c>
      <c r="AD113" s="48"/>
    </row>
    <row r="114" spans="1:30" ht="14.25" x14ac:dyDescent="0.3">
      <c r="A114" s="28">
        <f>ROW()-ROW(RawDataGenPO[[#Headers],[No.]])</f>
        <v>113</v>
      </c>
      <c r="B114" s="33" t="s">
        <v>95</v>
      </c>
      <c r="C114" s="30">
        <v>46009</v>
      </c>
      <c r="D114" s="28" t="s">
        <v>278</v>
      </c>
      <c r="E114" s="28" t="s">
        <v>295</v>
      </c>
      <c r="F114" s="37">
        <v>46015</v>
      </c>
      <c r="G114" s="38">
        <v>60</v>
      </c>
      <c r="H114" s="28" t="s">
        <v>37</v>
      </c>
      <c r="I114" s="28">
        <v>4</v>
      </c>
      <c r="J114" s="39" t="s">
        <v>282</v>
      </c>
      <c r="K114" s="43">
        <v>4</v>
      </c>
      <c r="L114" s="28" t="s">
        <v>38</v>
      </c>
      <c r="M114" s="41">
        <f t="shared" si="4"/>
        <v>960</v>
      </c>
      <c r="N114" s="42">
        <v>3840</v>
      </c>
      <c r="O114" s="43"/>
      <c r="P114" s="59">
        <v>3840</v>
      </c>
      <c r="Q114" s="59"/>
      <c r="R114" s="59"/>
      <c r="S114" s="59"/>
      <c r="T114" s="59"/>
      <c r="U114" s="59">
        <f>RawDataGenPO[[#This Row],[Total price]]-RawDataGenPO[[#This Row],[Column1]]-RawDataGenPO[[#This Row],[Column14]]-RawDataGenPO[[#This Row],[Column13]]-RawDataGenPO[[#This Row],[Column12]]</f>
        <v>0</v>
      </c>
      <c r="V114" s="33" t="s">
        <v>151</v>
      </c>
      <c r="W114" s="44" t="s">
        <v>8</v>
      </c>
      <c r="X114" s="28" t="s">
        <v>411</v>
      </c>
      <c r="Y114" s="35">
        <v>46039</v>
      </c>
      <c r="Z114" s="45"/>
      <c r="AA114" s="46">
        <f>IF(RawDataGenPO[[#This Row],[Date Gen PO]]="","",RawDataGenPO[[#This Row],[Date recive bill]]-RawDataGenPO[[#This Row],[Date Gen PO]])</f>
        <v>24</v>
      </c>
      <c r="AB114" s="47" t="str">
        <f>IF(RawDataGenPO[[#This Row],[GRN-PO date]]&gt;RawDataGenPO[[#This Row],[Lead time delivery (day)]],"over deliverry","Ontime")</f>
        <v>Ontime</v>
      </c>
      <c r="AC114" s="56" t="s">
        <v>219</v>
      </c>
      <c r="AD114" s="48"/>
    </row>
    <row r="115" spans="1:30" ht="14.25" x14ac:dyDescent="0.3">
      <c r="A115" s="28">
        <f>ROW()-ROW(RawDataGenPO[[#Headers],[No.]])</f>
        <v>114</v>
      </c>
      <c r="B115" s="33" t="s">
        <v>95</v>
      </c>
      <c r="C115" s="30">
        <v>46009</v>
      </c>
      <c r="D115" s="28" t="s">
        <v>278</v>
      </c>
      <c r="E115" s="28" t="s">
        <v>295</v>
      </c>
      <c r="F115" s="37">
        <v>46015</v>
      </c>
      <c r="G115" s="38">
        <v>60</v>
      </c>
      <c r="H115" s="28" t="s">
        <v>37</v>
      </c>
      <c r="I115" s="28">
        <v>5</v>
      </c>
      <c r="J115" s="39" t="s">
        <v>283</v>
      </c>
      <c r="K115" s="43">
        <v>2</v>
      </c>
      <c r="L115" s="28" t="s">
        <v>38</v>
      </c>
      <c r="M115" s="41">
        <f t="shared" si="4"/>
        <v>960</v>
      </c>
      <c r="N115" s="42">
        <v>1920</v>
      </c>
      <c r="O115" s="43"/>
      <c r="P115" s="59">
        <v>1920</v>
      </c>
      <c r="Q115" s="59"/>
      <c r="R115" s="59"/>
      <c r="S115" s="59"/>
      <c r="T115" s="59"/>
      <c r="U115" s="59">
        <f>RawDataGenPO[[#This Row],[Total price]]-RawDataGenPO[[#This Row],[Column1]]-RawDataGenPO[[#This Row],[Column14]]-RawDataGenPO[[#This Row],[Column13]]-RawDataGenPO[[#This Row],[Column12]]</f>
        <v>0</v>
      </c>
      <c r="V115" s="33" t="s">
        <v>151</v>
      </c>
      <c r="W115" s="44" t="s">
        <v>8</v>
      </c>
      <c r="X115" s="28" t="s">
        <v>411</v>
      </c>
      <c r="Y115" s="35">
        <v>46039</v>
      </c>
      <c r="Z115" s="45"/>
      <c r="AA115" s="46">
        <f>IF(RawDataGenPO[[#This Row],[Date Gen PO]]="","",RawDataGenPO[[#This Row],[Date recive bill]]-RawDataGenPO[[#This Row],[Date Gen PO]])</f>
        <v>24</v>
      </c>
      <c r="AB115" s="47" t="str">
        <f>IF(RawDataGenPO[[#This Row],[GRN-PO date]]&gt;RawDataGenPO[[#This Row],[Lead time delivery (day)]],"over deliverry","Ontime")</f>
        <v>Ontime</v>
      </c>
      <c r="AC115" s="56" t="s">
        <v>219</v>
      </c>
      <c r="AD115" s="48"/>
    </row>
    <row r="116" spans="1:30" ht="14.25" x14ac:dyDescent="0.3">
      <c r="A116" s="28">
        <f>ROW()-ROW(RawDataGenPO[[#Headers],[No.]])</f>
        <v>115</v>
      </c>
      <c r="B116" s="33" t="s">
        <v>95</v>
      </c>
      <c r="C116" s="30">
        <v>46009</v>
      </c>
      <c r="D116" s="28" t="s">
        <v>278</v>
      </c>
      <c r="E116" s="28" t="s">
        <v>295</v>
      </c>
      <c r="F116" s="37">
        <v>46015</v>
      </c>
      <c r="G116" s="38">
        <v>60</v>
      </c>
      <c r="H116" s="28" t="s">
        <v>37</v>
      </c>
      <c r="I116" s="28">
        <v>6</v>
      </c>
      <c r="J116" s="39" t="s">
        <v>284</v>
      </c>
      <c r="K116" s="43">
        <v>7</v>
      </c>
      <c r="L116" s="28" t="s">
        <v>38</v>
      </c>
      <c r="M116" s="41">
        <f t="shared" si="4"/>
        <v>2500</v>
      </c>
      <c r="N116" s="42">
        <v>17500</v>
      </c>
      <c r="O116" s="43"/>
      <c r="P116" s="59">
        <v>17500</v>
      </c>
      <c r="Q116" s="59"/>
      <c r="R116" s="59"/>
      <c r="S116" s="59"/>
      <c r="T116" s="59"/>
      <c r="U116" s="59">
        <f>RawDataGenPO[[#This Row],[Total price]]-RawDataGenPO[[#This Row],[Column1]]-RawDataGenPO[[#This Row],[Column14]]-RawDataGenPO[[#This Row],[Column13]]-RawDataGenPO[[#This Row],[Column12]]</f>
        <v>0</v>
      </c>
      <c r="V116" s="33" t="s">
        <v>151</v>
      </c>
      <c r="W116" s="44" t="s">
        <v>8</v>
      </c>
      <c r="X116" s="28" t="s">
        <v>411</v>
      </c>
      <c r="Y116" s="35">
        <v>46039</v>
      </c>
      <c r="Z116" s="45"/>
      <c r="AA116" s="46">
        <f>IF(RawDataGenPO[[#This Row],[Date Gen PO]]="","",RawDataGenPO[[#This Row],[Date recive bill]]-RawDataGenPO[[#This Row],[Date Gen PO]])</f>
        <v>24</v>
      </c>
      <c r="AB116" s="47" t="str">
        <f>IF(RawDataGenPO[[#This Row],[GRN-PO date]]&gt;RawDataGenPO[[#This Row],[Lead time delivery (day)]],"over deliverry","Ontime")</f>
        <v>Ontime</v>
      </c>
      <c r="AC116" s="56" t="s">
        <v>219</v>
      </c>
      <c r="AD116" s="48"/>
    </row>
    <row r="117" spans="1:30" ht="14.25" x14ac:dyDescent="0.3">
      <c r="A117" s="28">
        <f>ROW()-ROW(RawDataGenPO[[#Headers],[No.]])</f>
        <v>116</v>
      </c>
      <c r="B117" s="33" t="s">
        <v>95</v>
      </c>
      <c r="C117" s="30">
        <v>46009</v>
      </c>
      <c r="D117" s="28" t="s">
        <v>278</v>
      </c>
      <c r="E117" s="28" t="s">
        <v>295</v>
      </c>
      <c r="F117" s="37">
        <v>46015</v>
      </c>
      <c r="G117" s="38">
        <v>60</v>
      </c>
      <c r="H117" s="28" t="s">
        <v>37</v>
      </c>
      <c r="I117" s="28">
        <v>7</v>
      </c>
      <c r="J117" s="39" t="s">
        <v>285</v>
      </c>
      <c r="K117" s="43">
        <v>5</v>
      </c>
      <c r="L117" s="28" t="s">
        <v>38</v>
      </c>
      <c r="M117" s="41">
        <f t="shared" si="4"/>
        <v>490</v>
      </c>
      <c r="N117" s="42">
        <v>2450</v>
      </c>
      <c r="O117" s="43"/>
      <c r="P117" s="59">
        <v>2450</v>
      </c>
      <c r="Q117" s="59"/>
      <c r="R117" s="59"/>
      <c r="S117" s="59"/>
      <c r="T117" s="59"/>
      <c r="U117" s="59">
        <f>RawDataGenPO[[#This Row],[Total price]]-RawDataGenPO[[#This Row],[Column1]]-RawDataGenPO[[#This Row],[Column14]]-RawDataGenPO[[#This Row],[Column13]]-RawDataGenPO[[#This Row],[Column12]]</f>
        <v>0</v>
      </c>
      <c r="V117" s="33" t="s">
        <v>151</v>
      </c>
      <c r="W117" s="44" t="s">
        <v>8</v>
      </c>
      <c r="X117" s="28" t="s">
        <v>411</v>
      </c>
      <c r="Y117" s="35">
        <v>46039</v>
      </c>
      <c r="Z117" s="45"/>
      <c r="AA117" s="46">
        <f>IF(RawDataGenPO[[#This Row],[Date Gen PO]]="","",RawDataGenPO[[#This Row],[Date recive bill]]-RawDataGenPO[[#This Row],[Date Gen PO]])</f>
        <v>24</v>
      </c>
      <c r="AB117" s="47" t="str">
        <f>IF(RawDataGenPO[[#This Row],[GRN-PO date]]&gt;RawDataGenPO[[#This Row],[Lead time delivery (day)]],"over deliverry","Ontime")</f>
        <v>Ontime</v>
      </c>
      <c r="AC117" s="56" t="s">
        <v>219</v>
      </c>
      <c r="AD117" s="48"/>
    </row>
    <row r="118" spans="1:30" ht="14.25" x14ac:dyDescent="0.3">
      <c r="A118" s="28">
        <f>ROW()-ROW(RawDataGenPO[[#Headers],[No.]])</f>
        <v>117</v>
      </c>
      <c r="B118" s="33" t="s">
        <v>95</v>
      </c>
      <c r="C118" s="30">
        <v>46009</v>
      </c>
      <c r="D118" s="28" t="s">
        <v>278</v>
      </c>
      <c r="E118" s="28" t="s">
        <v>295</v>
      </c>
      <c r="F118" s="37">
        <v>46015</v>
      </c>
      <c r="G118" s="38">
        <v>60</v>
      </c>
      <c r="H118" s="28" t="s">
        <v>37</v>
      </c>
      <c r="I118" s="28">
        <v>8</v>
      </c>
      <c r="J118" s="39" t="s">
        <v>286</v>
      </c>
      <c r="K118" s="43">
        <v>7</v>
      </c>
      <c r="L118" s="28" t="s">
        <v>38</v>
      </c>
      <c r="M118" s="41">
        <f t="shared" si="4"/>
        <v>450</v>
      </c>
      <c r="N118" s="42">
        <v>3150</v>
      </c>
      <c r="O118" s="43"/>
      <c r="P118" s="59">
        <v>3150</v>
      </c>
      <c r="Q118" s="59"/>
      <c r="R118" s="59"/>
      <c r="S118" s="59"/>
      <c r="T118" s="59"/>
      <c r="U118" s="59">
        <f>RawDataGenPO[[#This Row],[Total price]]-RawDataGenPO[[#This Row],[Column1]]-RawDataGenPO[[#This Row],[Column14]]-RawDataGenPO[[#This Row],[Column13]]-RawDataGenPO[[#This Row],[Column12]]</f>
        <v>0</v>
      </c>
      <c r="V118" s="33" t="s">
        <v>151</v>
      </c>
      <c r="W118" s="44" t="s">
        <v>8</v>
      </c>
      <c r="X118" s="28" t="s">
        <v>411</v>
      </c>
      <c r="Y118" s="35">
        <v>46039</v>
      </c>
      <c r="Z118" s="45"/>
      <c r="AA118" s="46">
        <f>IF(RawDataGenPO[[#This Row],[Date Gen PO]]="","",RawDataGenPO[[#This Row],[Date recive bill]]-RawDataGenPO[[#This Row],[Date Gen PO]])</f>
        <v>24</v>
      </c>
      <c r="AB118" s="47" t="str">
        <f>IF(RawDataGenPO[[#This Row],[GRN-PO date]]&gt;RawDataGenPO[[#This Row],[Lead time delivery (day)]],"over deliverry","Ontime")</f>
        <v>Ontime</v>
      </c>
      <c r="AC118" s="56" t="s">
        <v>219</v>
      </c>
      <c r="AD118" s="48"/>
    </row>
    <row r="119" spans="1:30" ht="14.25" x14ac:dyDescent="0.3">
      <c r="A119" s="28">
        <f>ROW()-ROW(RawDataGenPO[[#Headers],[No.]])</f>
        <v>118</v>
      </c>
      <c r="B119" s="33" t="s">
        <v>95</v>
      </c>
      <c r="C119" s="30">
        <v>46009</v>
      </c>
      <c r="D119" s="28" t="s">
        <v>278</v>
      </c>
      <c r="E119" s="28" t="s">
        <v>295</v>
      </c>
      <c r="F119" s="37">
        <v>46015</v>
      </c>
      <c r="G119" s="38">
        <v>60</v>
      </c>
      <c r="H119" s="28" t="s">
        <v>37</v>
      </c>
      <c r="I119" s="28">
        <v>9</v>
      </c>
      <c r="J119" s="39" t="s">
        <v>287</v>
      </c>
      <c r="K119" s="43">
        <v>6</v>
      </c>
      <c r="L119" s="28" t="s">
        <v>38</v>
      </c>
      <c r="M119" s="41">
        <f t="shared" si="4"/>
        <v>250</v>
      </c>
      <c r="N119" s="42">
        <v>1500</v>
      </c>
      <c r="O119" s="43"/>
      <c r="P119" s="59">
        <v>1500</v>
      </c>
      <c r="Q119" s="59"/>
      <c r="R119" s="59"/>
      <c r="S119" s="59"/>
      <c r="T119" s="59"/>
      <c r="U119" s="59">
        <f>RawDataGenPO[[#This Row],[Total price]]-RawDataGenPO[[#This Row],[Column1]]-RawDataGenPO[[#This Row],[Column14]]-RawDataGenPO[[#This Row],[Column13]]-RawDataGenPO[[#This Row],[Column12]]</f>
        <v>0</v>
      </c>
      <c r="V119" s="33" t="s">
        <v>151</v>
      </c>
      <c r="W119" s="44" t="s">
        <v>8</v>
      </c>
      <c r="X119" s="28" t="s">
        <v>411</v>
      </c>
      <c r="Y119" s="35">
        <v>46039</v>
      </c>
      <c r="Z119" s="45"/>
      <c r="AA119" s="46">
        <f>IF(RawDataGenPO[[#This Row],[Date Gen PO]]="","",RawDataGenPO[[#This Row],[Date recive bill]]-RawDataGenPO[[#This Row],[Date Gen PO]])</f>
        <v>24</v>
      </c>
      <c r="AB119" s="47" t="str">
        <f>IF(RawDataGenPO[[#This Row],[GRN-PO date]]&gt;RawDataGenPO[[#This Row],[Lead time delivery (day)]],"over deliverry","Ontime")</f>
        <v>Ontime</v>
      </c>
      <c r="AC119" s="56" t="s">
        <v>219</v>
      </c>
      <c r="AD119" s="48"/>
    </row>
    <row r="120" spans="1:30" ht="14.25" x14ac:dyDescent="0.3">
      <c r="A120" s="28">
        <f>ROW()-ROW(RawDataGenPO[[#Headers],[No.]])</f>
        <v>119</v>
      </c>
      <c r="B120" s="33" t="s">
        <v>95</v>
      </c>
      <c r="C120" s="30">
        <v>46009</v>
      </c>
      <c r="D120" s="28" t="s">
        <v>278</v>
      </c>
      <c r="E120" s="28" t="s">
        <v>295</v>
      </c>
      <c r="F120" s="37">
        <v>46015</v>
      </c>
      <c r="G120" s="38">
        <v>60</v>
      </c>
      <c r="H120" s="28" t="s">
        <v>37</v>
      </c>
      <c r="I120" s="28">
        <v>10</v>
      </c>
      <c r="J120" s="39" t="s">
        <v>288</v>
      </c>
      <c r="K120" s="43">
        <v>6</v>
      </c>
      <c r="L120" s="28" t="s">
        <v>38</v>
      </c>
      <c r="M120" s="41">
        <f t="shared" si="4"/>
        <v>200</v>
      </c>
      <c r="N120" s="42">
        <v>1200</v>
      </c>
      <c r="O120" s="43"/>
      <c r="P120" s="59">
        <v>1200</v>
      </c>
      <c r="Q120" s="59"/>
      <c r="R120" s="59"/>
      <c r="S120" s="59"/>
      <c r="T120" s="59"/>
      <c r="U120" s="59">
        <f>RawDataGenPO[[#This Row],[Total price]]-RawDataGenPO[[#This Row],[Column1]]-RawDataGenPO[[#This Row],[Column14]]-RawDataGenPO[[#This Row],[Column13]]-RawDataGenPO[[#This Row],[Column12]]</f>
        <v>0</v>
      </c>
      <c r="V120" s="33" t="s">
        <v>151</v>
      </c>
      <c r="W120" s="44" t="s">
        <v>8</v>
      </c>
      <c r="X120" s="28" t="s">
        <v>411</v>
      </c>
      <c r="Y120" s="35">
        <v>46039</v>
      </c>
      <c r="Z120" s="45"/>
      <c r="AA120" s="46">
        <f>IF(RawDataGenPO[[#This Row],[Date Gen PO]]="","",RawDataGenPO[[#This Row],[Date recive bill]]-RawDataGenPO[[#This Row],[Date Gen PO]])</f>
        <v>24</v>
      </c>
      <c r="AB120" s="47" t="str">
        <f>IF(RawDataGenPO[[#This Row],[GRN-PO date]]&gt;RawDataGenPO[[#This Row],[Lead time delivery (day)]],"over deliverry","Ontime")</f>
        <v>Ontime</v>
      </c>
      <c r="AC120" s="56" t="s">
        <v>219</v>
      </c>
      <c r="AD120" s="48"/>
    </row>
    <row r="121" spans="1:30" ht="14.25" x14ac:dyDescent="0.3">
      <c r="A121" s="28">
        <f>ROW()-ROW(RawDataGenPO[[#Headers],[No.]])</f>
        <v>120</v>
      </c>
      <c r="B121" s="33" t="s">
        <v>95</v>
      </c>
      <c r="C121" s="30">
        <v>46009</v>
      </c>
      <c r="D121" s="28" t="s">
        <v>278</v>
      </c>
      <c r="E121" s="28" t="s">
        <v>295</v>
      </c>
      <c r="F121" s="37">
        <v>46015</v>
      </c>
      <c r="G121" s="38">
        <v>60</v>
      </c>
      <c r="H121" s="28" t="s">
        <v>37</v>
      </c>
      <c r="I121" s="28">
        <v>11</v>
      </c>
      <c r="J121" s="39" t="s">
        <v>289</v>
      </c>
      <c r="K121" s="43">
        <v>3</v>
      </c>
      <c r="L121" s="28" t="s">
        <v>38</v>
      </c>
      <c r="M121" s="41">
        <f t="shared" si="4"/>
        <v>60</v>
      </c>
      <c r="N121" s="42">
        <v>180</v>
      </c>
      <c r="O121" s="43"/>
      <c r="P121" s="59">
        <v>180</v>
      </c>
      <c r="Q121" s="59"/>
      <c r="R121" s="59"/>
      <c r="S121" s="59"/>
      <c r="T121" s="59"/>
      <c r="U121" s="59">
        <f>RawDataGenPO[[#This Row],[Total price]]-RawDataGenPO[[#This Row],[Column1]]-RawDataGenPO[[#This Row],[Column14]]-RawDataGenPO[[#This Row],[Column13]]-RawDataGenPO[[#This Row],[Column12]]</f>
        <v>0</v>
      </c>
      <c r="V121" s="33" t="s">
        <v>151</v>
      </c>
      <c r="W121" s="44" t="s">
        <v>8</v>
      </c>
      <c r="X121" s="28" t="s">
        <v>411</v>
      </c>
      <c r="Y121" s="35">
        <v>46039</v>
      </c>
      <c r="Z121" s="45"/>
      <c r="AA121" s="46">
        <f>IF(RawDataGenPO[[#This Row],[Date Gen PO]]="","",RawDataGenPO[[#This Row],[Date recive bill]]-RawDataGenPO[[#This Row],[Date Gen PO]])</f>
        <v>24</v>
      </c>
      <c r="AB121" s="47" t="str">
        <f>IF(RawDataGenPO[[#This Row],[GRN-PO date]]&gt;RawDataGenPO[[#This Row],[Lead time delivery (day)]],"over deliverry","Ontime")</f>
        <v>Ontime</v>
      </c>
      <c r="AC121" s="56" t="s">
        <v>219</v>
      </c>
      <c r="AD121" s="48"/>
    </row>
    <row r="122" spans="1:30" ht="14.25" x14ac:dyDescent="0.3">
      <c r="A122" s="28">
        <f>ROW()-ROW(RawDataGenPO[[#Headers],[No.]])</f>
        <v>121</v>
      </c>
      <c r="B122" s="33" t="s">
        <v>95</v>
      </c>
      <c r="C122" s="30">
        <v>46009</v>
      </c>
      <c r="D122" s="28" t="s">
        <v>278</v>
      </c>
      <c r="E122" s="28" t="s">
        <v>295</v>
      </c>
      <c r="F122" s="37">
        <v>46015</v>
      </c>
      <c r="G122" s="38">
        <v>60</v>
      </c>
      <c r="H122" s="28" t="s">
        <v>37</v>
      </c>
      <c r="I122" s="28">
        <v>12</v>
      </c>
      <c r="J122" s="39" t="s">
        <v>290</v>
      </c>
      <c r="K122" s="43">
        <v>8</v>
      </c>
      <c r="L122" s="28" t="s">
        <v>38</v>
      </c>
      <c r="M122" s="41">
        <f t="shared" si="4"/>
        <v>60</v>
      </c>
      <c r="N122" s="42">
        <v>480</v>
      </c>
      <c r="O122" s="43"/>
      <c r="P122" s="43"/>
      <c r="Q122" s="43"/>
      <c r="R122" s="43"/>
      <c r="S122" s="43"/>
      <c r="T122" s="43"/>
      <c r="U122" s="43">
        <f>RawDataGenPO[[#This Row],[Total price]]-RawDataGenPO[[#This Row],[Column1]]-RawDataGenPO[[#This Row],[Column14]]-RawDataGenPO[[#This Row],[Column13]]-RawDataGenPO[[#This Row],[Column12]]</f>
        <v>480</v>
      </c>
      <c r="V122" s="33" t="s">
        <v>151</v>
      </c>
      <c r="W122" s="44" t="s">
        <v>9</v>
      </c>
      <c r="Z122" s="45"/>
      <c r="AA122" s="46">
        <f>IF(RawDataGenPO[[#This Row],[Date Gen PO]]="","",RawDataGenPO[[#This Row],[Date recive bill]]-RawDataGenPO[[#This Row],[Date Gen PO]])</f>
        <v>-46015</v>
      </c>
      <c r="AB122" s="47" t="str">
        <f>IF(RawDataGenPO[[#This Row],[GRN-PO date]]&gt;RawDataGenPO[[#This Row],[Lead time delivery (day)]],"over deliverry","Ontime")</f>
        <v>Ontime</v>
      </c>
      <c r="AC122" s="56" t="s">
        <v>219</v>
      </c>
      <c r="AD122" s="48"/>
    </row>
    <row r="123" spans="1:30" ht="14.25" x14ac:dyDescent="0.3">
      <c r="A123" s="28">
        <f>ROW()-ROW(RawDataGenPO[[#Headers],[No.]])</f>
        <v>122</v>
      </c>
      <c r="B123" s="33" t="s">
        <v>95</v>
      </c>
      <c r="C123" s="30">
        <v>46009</v>
      </c>
      <c r="D123" s="28" t="s">
        <v>278</v>
      </c>
      <c r="E123" s="28" t="s">
        <v>295</v>
      </c>
      <c r="F123" s="37">
        <v>46015</v>
      </c>
      <c r="G123" s="38">
        <v>60</v>
      </c>
      <c r="H123" s="28" t="s">
        <v>37</v>
      </c>
      <c r="I123" s="28">
        <v>13</v>
      </c>
      <c r="J123" s="39" t="s">
        <v>291</v>
      </c>
      <c r="K123" s="43">
        <v>10</v>
      </c>
      <c r="L123" s="28" t="s">
        <v>38</v>
      </c>
      <c r="M123" s="41">
        <f t="shared" si="4"/>
        <v>70</v>
      </c>
      <c r="N123" s="42">
        <v>700</v>
      </c>
      <c r="O123" s="43"/>
      <c r="P123" s="59">
        <v>700</v>
      </c>
      <c r="Q123" s="59"/>
      <c r="R123" s="59"/>
      <c r="S123" s="59"/>
      <c r="T123" s="59"/>
      <c r="U123" s="59">
        <f>RawDataGenPO[[#This Row],[Total price]]-RawDataGenPO[[#This Row],[Column1]]-RawDataGenPO[[#This Row],[Column14]]-RawDataGenPO[[#This Row],[Column13]]-RawDataGenPO[[#This Row],[Column12]]</f>
        <v>0</v>
      </c>
      <c r="V123" s="33" t="s">
        <v>151</v>
      </c>
      <c r="W123" s="44" t="s">
        <v>8</v>
      </c>
      <c r="X123" s="28" t="s">
        <v>411</v>
      </c>
      <c r="Y123" s="35">
        <v>46039</v>
      </c>
      <c r="Z123" s="45"/>
      <c r="AA123" s="46">
        <f>IF(RawDataGenPO[[#This Row],[Date Gen PO]]="","",RawDataGenPO[[#This Row],[Date recive bill]]-RawDataGenPO[[#This Row],[Date Gen PO]])</f>
        <v>24</v>
      </c>
      <c r="AB123" s="47" t="str">
        <f>IF(RawDataGenPO[[#This Row],[GRN-PO date]]&gt;RawDataGenPO[[#This Row],[Lead time delivery (day)]],"over deliverry","Ontime")</f>
        <v>Ontime</v>
      </c>
      <c r="AC123" s="56" t="s">
        <v>219</v>
      </c>
      <c r="AD123" s="48"/>
    </row>
    <row r="124" spans="1:30" ht="14.25" x14ac:dyDescent="0.3">
      <c r="A124" s="28">
        <f>ROW()-ROW(RawDataGenPO[[#Headers],[No.]])</f>
        <v>123</v>
      </c>
      <c r="B124" s="33" t="s">
        <v>95</v>
      </c>
      <c r="C124" s="30">
        <v>46009</v>
      </c>
      <c r="D124" s="28" t="s">
        <v>278</v>
      </c>
      <c r="E124" s="28" t="s">
        <v>295</v>
      </c>
      <c r="F124" s="37">
        <v>46015</v>
      </c>
      <c r="G124" s="38">
        <v>60</v>
      </c>
      <c r="H124" s="28" t="s">
        <v>37</v>
      </c>
      <c r="I124" s="28">
        <v>14</v>
      </c>
      <c r="J124" s="39" t="s">
        <v>292</v>
      </c>
      <c r="K124" s="43">
        <v>6</v>
      </c>
      <c r="L124" s="28" t="s">
        <v>38</v>
      </c>
      <c r="M124" s="41">
        <f t="shared" si="4"/>
        <v>160</v>
      </c>
      <c r="N124" s="42">
        <v>960</v>
      </c>
      <c r="O124" s="43"/>
      <c r="P124" s="59">
        <v>960</v>
      </c>
      <c r="Q124" s="59"/>
      <c r="R124" s="59"/>
      <c r="S124" s="59"/>
      <c r="T124" s="59"/>
      <c r="U124" s="59">
        <f>RawDataGenPO[[#This Row],[Total price]]-RawDataGenPO[[#This Row],[Column1]]-RawDataGenPO[[#This Row],[Column14]]-RawDataGenPO[[#This Row],[Column13]]-RawDataGenPO[[#This Row],[Column12]]</f>
        <v>0</v>
      </c>
      <c r="V124" s="33" t="s">
        <v>151</v>
      </c>
      <c r="W124" s="44" t="s">
        <v>8</v>
      </c>
      <c r="X124" s="28" t="s">
        <v>411</v>
      </c>
      <c r="Y124" s="35">
        <v>46039</v>
      </c>
      <c r="Z124" s="45"/>
      <c r="AA124" s="46">
        <f>IF(RawDataGenPO[[#This Row],[Date Gen PO]]="","",RawDataGenPO[[#This Row],[Date recive bill]]-RawDataGenPO[[#This Row],[Date Gen PO]])</f>
        <v>24</v>
      </c>
      <c r="AB124" s="47" t="str">
        <f>IF(RawDataGenPO[[#This Row],[GRN-PO date]]&gt;RawDataGenPO[[#This Row],[Lead time delivery (day)]],"over deliverry","Ontime")</f>
        <v>Ontime</v>
      </c>
      <c r="AC124" s="56" t="s">
        <v>219</v>
      </c>
      <c r="AD124" s="48"/>
    </row>
    <row r="125" spans="1:30" ht="14.25" x14ac:dyDescent="0.3">
      <c r="A125" s="28">
        <f>ROW()-ROW(RawDataGenPO[[#Headers],[No.]])</f>
        <v>124</v>
      </c>
      <c r="B125" s="33" t="s">
        <v>95</v>
      </c>
      <c r="C125" s="30">
        <v>46010</v>
      </c>
      <c r="D125" s="28" t="s">
        <v>296</v>
      </c>
      <c r="E125" s="28" t="s">
        <v>297</v>
      </c>
      <c r="F125" s="37">
        <v>46015</v>
      </c>
      <c r="G125" s="38">
        <v>60</v>
      </c>
      <c r="H125" s="28" t="s">
        <v>37</v>
      </c>
      <c r="I125" s="28">
        <v>1</v>
      </c>
      <c r="J125" s="39" t="s">
        <v>298</v>
      </c>
      <c r="K125" s="43">
        <v>12</v>
      </c>
      <c r="L125" s="28" t="s">
        <v>38</v>
      </c>
      <c r="M125" s="41">
        <f t="shared" si="4"/>
        <v>1000</v>
      </c>
      <c r="N125" s="42">
        <v>12000</v>
      </c>
      <c r="O125" s="43"/>
      <c r="P125" s="59">
        <v>12000</v>
      </c>
      <c r="Q125" s="59"/>
      <c r="R125" s="59"/>
      <c r="S125" s="59"/>
      <c r="T125" s="59"/>
      <c r="U125" s="59">
        <f>RawDataGenPO[[#This Row],[Total price]]-RawDataGenPO[[#This Row],[Column1]]-RawDataGenPO[[#This Row],[Column14]]-RawDataGenPO[[#This Row],[Column13]]-RawDataGenPO[[#This Row],[Column12]]</f>
        <v>0</v>
      </c>
      <c r="V125" s="33" t="s">
        <v>211</v>
      </c>
      <c r="W125" s="44" t="s">
        <v>8</v>
      </c>
      <c r="X125" s="28" t="s">
        <v>415</v>
      </c>
      <c r="Y125" s="35">
        <v>46041</v>
      </c>
      <c r="Z125" s="45"/>
      <c r="AA125" s="46">
        <f>IF(RawDataGenPO[[#This Row],[Date Gen PO]]="","",RawDataGenPO[[#This Row],[Date recive bill]]-RawDataGenPO[[#This Row],[Date Gen PO]])</f>
        <v>26</v>
      </c>
      <c r="AB125" s="47" t="str">
        <f>IF(RawDataGenPO[[#This Row],[GRN-PO date]]&gt;RawDataGenPO[[#This Row],[Lead time delivery (day)]],"over deliverry","Ontime")</f>
        <v>Ontime</v>
      </c>
      <c r="AC125" s="56" t="s">
        <v>219</v>
      </c>
      <c r="AD125" s="48"/>
    </row>
    <row r="126" spans="1:30" ht="14.25" x14ac:dyDescent="0.3">
      <c r="A126" s="28">
        <f>ROW()-ROW(RawDataGenPO[[#Headers],[No.]])</f>
        <v>125</v>
      </c>
      <c r="B126" s="33" t="s">
        <v>95</v>
      </c>
      <c r="C126" s="30">
        <v>46010</v>
      </c>
      <c r="D126" s="28" t="s">
        <v>296</v>
      </c>
      <c r="E126" s="28" t="s">
        <v>297</v>
      </c>
      <c r="F126" s="37">
        <v>46015</v>
      </c>
      <c r="G126" s="38">
        <v>60</v>
      </c>
      <c r="H126" s="28" t="s">
        <v>37</v>
      </c>
      <c r="I126" s="28">
        <v>2</v>
      </c>
      <c r="J126" s="39" t="s">
        <v>299</v>
      </c>
      <c r="K126" s="43">
        <v>12</v>
      </c>
      <c r="L126" s="28" t="s">
        <v>38</v>
      </c>
      <c r="M126" s="41">
        <f t="shared" si="4"/>
        <v>1100</v>
      </c>
      <c r="N126" s="42">
        <v>13200</v>
      </c>
      <c r="O126" s="43"/>
      <c r="P126" s="59">
        <v>13200</v>
      </c>
      <c r="Q126" s="59"/>
      <c r="R126" s="59"/>
      <c r="S126" s="59"/>
      <c r="T126" s="59"/>
      <c r="U126" s="59">
        <f>RawDataGenPO[[#This Row],[Total price]]-RawDataGenPO[[#This Row],[Column1]]-RawDataGenPO[[#This Row],[Column14]]-RawDataGenPO[[#This Row],[Column13]]-RawDataGenPO[[#This Row],[Column12]]</f>
        <v>0</v>
      </c>
      <c r="V126" s="33" t="s">
        <v>211</v>
      </c>
      <c r="W126" s="44" t="s">
        <v>8</v>
      </c>
      <c r="X126" s="28" t="s">
        <v>415</v>
      </c>
      <c r="Y126" s="35">
        <v>46041</v>
      </c>
      <c r="Z126" s="45"/>
      <c r="AA126" s="46">
        <f>IF(RawDataGenPO[[#This Row],[Date Gen PO]]="","",RawDataGenPO[[#This Row],[Date recive bill]]-RawDataGenPO[[#This Row],[Date Gen PO]])</f>
        <v>26</v>
      </c>
      <c r="AB126" s="47" t="str">
        <f>IF(RawDataGenPO[[#This Row],[GRN-PO date]]&gt;RawDataGenPO[[#This Row],[Lead time delivery (day)]],"over deliverry","Ontime")</f>
        <v>Ontime</v>
      </c>
      <c r="AC126" s="56" t="s">
        <v>219</v>
      </c>
      <c r="AD126" s="48"/>
    </row>
    <row r="127" spans="1:30" ht="14.25" x14ac:dyDescent="0.3">
      <c r="A127" s="28">
        <f>ROW()-ROW(RawDataGenPO[[#Headers],[No.]])</f>
        <v>126</v>
      </c>
      <c r="B127" s="33" t="s">
        <v>95</v>
      </c>
      <c r="C127" s="30">
        <v>46010</v>
      </c>
      <c r="D127" s="28" t="s">
        <v>296</v>
      </c>
      <c r="E127" s="28" t="s">
        <v>297</v>
      </c>
      <c r="F127" s="37">
        <v>46015</v>
      </c>
      <c r="G127" s="38">
        <v>60</v>
      </c>
      <c r="H127" s="28" t="s">
        <v>37</v>
      </c>
      <c r="I127" s="28">
        <v>3</v>
      </c>
      <c r="J127" s="39" t="s">
        <v>300</v>
      </c>
      <c r="K127" s="43">
        <v>12</v>
      </c>
      <c r="L127" s="28" t="s">
        <v>38</v>
      </c>
      <c r="M127" s="41">
        <f t="shared" si="4"/>
        <v>950</v>
      </c>
      <c r="N127" s="42">
        <v>11400</v>
      </c>
      <c r="O127" s="43"/>
      <c r="P127" s="59">
        <v>11400</v>
      </c>
      <c r="Q127" s="59"/>
      <c r="R127" s="59"/>
      <c r="S127" s="59"/>
      <c r="T127" s="59"/>
      <c r="U127" s="59">
        <f>RawDataGenPO[[#This Row],[Total price]]-RawDataGenPO[[#This Row],[Column1]]-RawDataGenPO[[#This Row],[Column14]]-RawDataGenPO[[#This Row],[Column13]]-RawDataGenPO[[#This Row],[Column12]]</f>
        <v>0</v>
      </c>
      <c r="V127" s="33" t="s">
        <v>211</v>
      </c>
      <c r="W127" s="44" t="s">
        <v>8</v>
      </c>
      <c r="X127" s="28" t="s">
        <v>415</v>
      </c>
      <c r="Y127" s="35">
        <v>46041</v>
      </c>
      <c r="Z127" s="45"/>
      <c r="AA127" s="46">
        <f>IF(RawDataGenPO[[#This Row],[Date Gen PO]]="","",RawDataGenPO[[#This Row],[Date recive bill]]-RawDataGenPO[[#This Row],[Date Gen PO]])</f>
        <v>26</v>
      </c>
      <c r="AB127" s="47" t="str">
        <f>IF(RawDataGenPO[[#This Row],[GRN-PO date]]&gt;RawDataGenPO[[#This Row],[Lead time delivery (day)]],"over deliverry","Ontime")</f>
        <v>Ontime</v>
      </c>
      <c r="AC127" s="56" t="s">
        <v>219</v>
      </c>
      <c r="AD127" s="48"/>
    </row>
    <row r="128" spans="1:30" ht="14.25" x14ac:dyDescent="0.3">
      <c r="A128" s="28">
        <f>ROW()-ROW(RawDataGenPO[[#Headers],[No.]])</f>
        <v>127</v>
      </c>
      <c r="B128" s="33" t="s">
        <v>95</v>
      </c>
      <c r="C128" s="30">
        <v>46010</v>
      </c>
      <c r="D128" s="28" t="s">
        <v>296</v>
      </c>
      <c r="E128" s="28" t="s">
        <v>297</v>
      </c>
      <c r="F128" s="37">
        <v>46015</v>
      </c>
      <c r="G128" s="38">
        <v>60</v>
      </c>
      <c r="H128" s="28" t="s">
        <v>37</v>
      </c>
      <c r="I128" s="28">
        <v>4</v>
      </c>
      <c r="J128" s="39" t="s">
        <v>301</v>
      </c>
      <c r="K128" s="43">
        <v>12</v>
      </c>
      <c r="L128" s="28" t="s">
        <v>38</v>
      </c>
      <c r="M128" s="41">
        <f t="shared" si="4"/>
        <v>1700</v>
      </c>
      <c r="N128" s="42">
        <v>20400</v>
      </c>
      <c r="O128" s="43"/>
      <c r="P128" s="59">
        <v>20400</v>
      </c>
      <c r="Q128" s="59"/>
      <c r="R128" s="59"/>
      <c r="S128" s="59"/>
      <c r="T128" s="59"/>
      <c r="U128" s="59">
        <f>RawDataGenPO[[#This Row],[Total price]]-RawDataGenPO[[#This Row],[Column1]]-RawDataGenPO[[#This Row],[Column14]]-RawDataGenPO[[#This Row],[Column13]]-RawDataGenPO[[#This Row],[Column12]]</f>
        <v>0</v>
      </c>
      <c r="V128" s="33" t="s">
        <v>211</v>
      </c>
      <c r="W128" s="44" t="s">
        <v>8</v>
      </c>
      <c r="X128" s="28" t="s">
        <v>415</v>
      </c>
      <c r="Y128" s="35">
        <v>46041</v>
      </c>
      <c r="Z128" s="45"/>
      <c r="AA128" s="46">
        <f>IF(RawDataGenPO[[#This Row],[Date Gen PO]]="","",RawDataGenPO[[#This Row],[Date recive bill]]-RawDataGenPO[[#This Row],[Date Gen PO]])</f>
        <v>26</v>
      </c>
      <c r="AB128" s="47" t="str">
        <f>IF(RawDataGenPO[[#This Row],[GRN-PO date]]&gt;RawDataGenPO[[#This Row],[Lead time delivery (day)]],"over deliverry","Ontime")</f>
        <v>Ontime</v>
      </c>
      <c r="AC128" s="56" t="s">
        <v>219</v>
      </c>
      <c r="AD128" s="48"/>
    </row>
    <row r="129" spans="1:30" ht="14.25" x14ac:dyDescent="0.3">
      <c r="A129" s="28">
        <f>ROW()-ROW(RawDataGenPO[[#Headers],[No.]])</f>
        <v>128</v>
      </c>
      <c r="B129" s="33" t="s">
        <v>14</v>
      </c>
      <c r="C129" s="30">
        <v>46010</v>
      </c>
      <c r="D129" s="28" t="s">
        <v>302</v>
      </c>
      <c r="E129" s="28" t="s">
        <v>321</v>
      </c>
      <c r="F129" s="37">
        <v>46015</v>
      </c>
      <c r="G129" s="38">
        <v>60</v>
      </c>
      <c r="H129" s="28" t="s">
        <v>40</v>
      </c>
      <c r="I129" s="28">
        <v>1</v>
      </c>
      <c r="J129" s="39" t="s">
        <v>304</v>
      </c>
      <c r="K129" s="43">
        <v>7</v>
      </c>
      <c r="L129" s="28" t="s">
        <v>38</v>
      </c>
      <c r="M129" s="41">
        <f t="shared" si="4"/>
        <v>17000</v>
      </c>
      <c r="N129" s="42">
        <v>119000</v>
      </c>
      <c r="O129" s="43"/>
      <c r="P129" s="59">
        <v>119000</v>
      </c>
      <c r="Q129" s="59"/>
      <c r="R129" s="59"/>
      <c r="S129" s="59"/>
      <c r="T129" s="59"/>
      <c r="U129" s="59">
        <f>RawDataGenPO[[#This Row],[Total price]]-RawDataGenPO[[#This Row],[Column1]]-RawDataGenPO[[#This Row],[Column14]]-RawDataGenPO[[#This Row],[Column13]]-RawDataGenPO[[#This Row],[Column12]]</f>
        <v>0</v>
      </c>
      <c r="V129" s="33" t="s">
        <v>211</v>
      </c>
      <c r="W129" s="44" t="s">
        <v>8</v>
      </c>
      <c r="X129" s="28" t="s">
        <v>416</v>
      </c>
      <c r="Y129" s="35">
        <v>45676</v>
      </c>
      <c r="Z129" s="45"/>
      <c r="AA129" s="46">
        <f>IF(RawDataGenPO[[#This Row],[Date Gen PO]]="","",RawDataGenPO[[#This Row],[Date recive bill]]-RawDataGenPO[[#This Row],[Date Gen PO]])</f>
        <v>-339</v>
      </c>
      <c r="AB129" s="47" t="str">
        <f>IF(RawDataGenPO[[#This Row],[GRN-PO date]]&gt;RawDataGenPO[[#This Row],[Lead time delivery (day)]],"over deliverry","Ontime")</f>
        <v>Ontime</v>
      </c>
      <c r="AC129" s="56" t="s">
        <v>219</v>
      </c>
      <c r="AD129" s="48"/>
    </row>
    <row r="130" spans="1:30" ht="14.25" x14ac:dyDescent="0.3">
      <c r="A130" s="28">
        <f>ROW()-ROW(RawDataGenPO[[#Headers],[No.]])</f>
        <v>129</v>
      </c>
      <c r="B130" s="33" t="s">
        <v>14</v>
      </c>
      <c r="C130" s="30">
        <v>46010</v>
      </c>
      <c r="D130" s="28" t="s">
        <v>302</v>
      </c>
      <c r="E130" s="28" t="s">
        <v>321</v>
      </c>
      <c r="F130" s="37">
        <v>46015</v>
      </c>
      <c r="G130" s="38">
        <v>60</v>
      </c>
      <c r="H130" s="28" t="s">
        <v>40</v>
      </c>
      <c r="I130" s="28">
        <v>2</v>
      </c>
      <c r="J130" s="39" t="s">
        <v>305</v>
      </c>
      <c r="K130" s="43">
        <v>7</v>
      </c>
      <c r="L130" s="28" t="s">
        <v>38</v>
      </c>
      <c r="M130" s="41">
        <f t="shared" si="4"/>
        <v>8000</v>
      </c>
      <c r="N130" s="42">
        <v>56000</v>
      </c>
      <c r="O130" s="43"/>
      <c r="P130" s="59">
        <v>56000</v>
      </c>
      <c r="Q130" s="59"/>
      <c r="R130" s="59"/>
      <c r="S130" s="59"/>
      <c r="T130" s="59"/>
      <c r="U130" s="59">
        <f>RawDataGenPO[[#This Row],[Total price]]-RawDataGenPO[[#This Row],[Column1]]-RawDataGenPO[[#This Row],[Column14]]-RawDataGenPO[[#This Row],[Column13]]-RawDataGenPO[[#This Row],[Column12]]</f>
        <v>0</v>
      </c>
      <c r="V130" s="33" t="s">
        <v>211</v>
      </c>
      <c r="W130" s="44" t="s">
        <v>8</v>
      </c>
      <c r="X130" s="28" t="s">
        <v>416</v>
      </c>
      <c r="Y130" s="35">
        <v>45676</v>
      </c>
      <c r="Z130" s="45"/>
      <c r="AA130" s="46">
        <f>IF(RawDataGenPO[[#This Row],[Date Gen PO]]="","",RawDataGenPO[[#This Row],[Date recive bill]]-RawDataGenPO[[#This Row],[Date Gen PO]])</f>
        <v>-339</v>
      </c>
      <c r="AB130" s="47" t="str">
        <f>IF(RawDataGenPO[[#This Row],[GRN-PO date]]&gt;RawDataGenPO[[#This Row],[Lead time delivery (day)]],"over deliverry","Ontime")</f>
        <v>Ontime</v>
      </c>
      <c r="AC130" s="56" t="s">
        <v>219</v>
      </c>
      <c r="AD130" s="48"/>
    </row>
    <row r="131" spans="1:30" ht="14.25" x14ac:dyDescent="0.3">
      <c r="A131" s="28">
        <f>ROW()-ROW(RawDataGenPO[[#Headers],[No.]])</f>
        <v>130</v>
      </c>
      <c r="B131" s="33" t="s">
        <v>14</v>
      </c>
      <c r="C131" s="30">
        <v>46010</v>
      </c>
      <c r="D131" s="28" t="s">
        <v>302</v>
      </c>
      <c r="E131" s="28" t="s">
        <v>321</v>
      </c>
      <c r="F131" s="37">
        <v>46015</v>
      </c>
      <c r="G131" s="38">
        <v>60</v>
      </c>
      <c r="H131" s="28" t="s">
        <v>40</v>
      </c>
      <c r="I131" s="28">
        <v>3</v>
      </c>
      <c r="J131" s="39" t="s">
        <v>306</v>
      </c>
      <c r="K131" s="43">
        <v>6</v>
      </c>
      <c r="L131" s="28" t="s">
        <v>38</v>
      </c>
      <c r="M131" s="41">
        <f t="shared" si="4"/>
        <v>7500</v>
      </c>
      <c r="N131" s="42">
        <v>45000</v>
      </c>
      <c r="O131" s="43"/>
      <c r="P131" s="59">
        <v>45000</v>
      </c>
      <c r="Q131" s="59"/>
      <c r="R131" s="59"/>
      <c r="S131" s="59"/>
      <c r="T131" s="59"/>
      <c r="U131" s="59">
        <f>RawDataGenPO[[#This Row],[Total price]]-RawDataGenPO[[#This Row],[Column1]]-RawDataGenPO[[#This Row],[Column14]]-RawDataGenPO[[#This Row],[Column13]]-RawDataGenPO[[#This Row],[Column12]]</f>
        <v>0</v>
      </c>
      <c r="V131" s="33" t="s">
        <v>211</v>
      </c>
      <c r="W131" s="44" t="s">
        <v>8</v>
      </c>
      <c r="X131" s="28" t="s">
        <v>416</v>
      </c>
      <c r="Y131" s="35">
        <v>45676</v>
      </c>
      <c r="Z131" s="45"/>
      <c r="AA131" s="46">
        <f>IF(RawDataGenPO[[#This Row],[Date Gen PO]]="","",RawDataGenPO[[#This Row],[Date recive bill]]-RawDataGenPO[[#This Row],[Date Gen PO]])</f>
        <v>-339</v>
      </c>
      <c r="AB131" s="47" t="str">
        <f>IF(RawDataGenPO[[#This Row],[GRN-PO date]]&gt;RawDataGenPO[[#This Row],[Lead time delivery (day)]],"over deliverry","Ontime")</f>
        <v>Ontime</v>
      </c>
      <c r="AC131" s="56" t="s">
        <v>219</v>
      </c>
      <c r="AD131" s="48"/>
    </row>
    <row r="132" spans="1:30" ht="14.25" x14ac:dyDescent="0.3">
      <c r="A132" s="28">
        <f>ROW()-ROW(RawDataGenPO[[#Headers],[No.]])</f>
        <v>131</v>
      </c>
      <c r="B132" s="33" t="s">
        <v>14</v>
      </c>
      <c r="C132" s="30">
        <v>46010</v>
      </c>
      <c r="D132" s="28" t="s">
        <v>302</v>
      </c>
      <c r="E132" s="28" t="s">
        <v>321</v>
      </c>
      <c r="F132" s="37">
        <v>46015</v>
      </c>
      <c r="G132" s="38">
        <v>60</v>
      </c>
      <c r="H132" s="28" t="s">
        <v>40</v>
      </c>
      <c r="I132" s="28">
        <v>4</v>
      </c>
      <c r="J132" s="39" t="s">
        <v>307</v>
      </c>
      <c r="K132" s="43">
        <v>31</v>
      </c>
      <c r="L132" s="28" t="s">
        <v>38</v>
      </c>
      <c r="M132" s="41">
        <f t="shared" si="4"/>
        <v>6800</v>
      </c>
      <c r="N132" s="42">
        <v>210800</v>
      </c>
      <c r="O132" s="43"/>
      <c r="P132" s="59">
        <v>210800</v>
      </c>
      <c r="Q132" s="59"/>
      <c r="R132" s="59"/>
      <c r="S132" s="59"/>
      <c r="T132" s="59"/>
      <c r="U132" s="59">
        <f>RawDataGenPO[[#This Row],[Total price]]-RawDataGenPO[[#This Row],[Column1]]-RawDataGenPO[[#This Row],[Column14]]-RawDataGenPO[[#This Row],[Column13]]-RawDataGenPO[[#This Row],[Column12]]</f>
        <v>0</v>
      </c>
      <c r="V132" s="33" t="s">
        <v>211</v>
      </c>
      <c r="W132" s="44" t="s">
        <v>8</v>
      </c>
      <c r="X132" s="28" t="s">
        <v>416</v>
      </c>
      <c r="Y132" s="35">
        <v>45676</v>
      </c>
      <c r="Z132" s="45"/>
      <c r="AA132" s="46">
        <f>IF(RawDataGenPO[[#This Row],[Date Gen PO]]="","",RawDataGenPO[[#This Row],[Date recive bill]]-RawDataGenPO[[#This Row],[Date Gen PO]])</f>
        <v>-339</v>
      </c>
      <c r="AB132" s="47" t="str">
        <f>IF(RawDataGenPO[[#This Row],[GRN-PO date]]&gt;RawDataGenPO[[#This Row],[Lead time delivery (day)]],"over deliverry","Ontime")</f>
        <v>Ontime</v>
      </c>
      <c r="AC132" s="56" t="s">
        <v>219</v>
      </c>
      <c r="AD132" s="48"/>
    </row>
    <row r="133" spans="1:30" ht="14.25" x14ac:dyDescent="0.3">
      <c r="A133" s="28">
        <f>ROW()-ROW(RawDataGenPO[[#Headers],[No.]])</f>
        <v>132</v>
      </c>
      <c r="B133" s="33" t="s">
        <v>14</v>
      </c>
      <c r="C133" s="30">
        <v>46010</v>
      </c>
      <c r="D133" s="28" t="s">
        <v>302</v>
      </c>
      <c r="E133" s="28" t="s">
        <v>321</v>
      </c>
      <c r="F133" s="37">
        <v>46015</v>
      </c>
      <c r="G133" s="38">
        <v>60</v>
      </c>
      <c r="H133" s="28" t="s">
        <v>40</v>
      </c>
      <c r="I133" s="28">
        <v>5</v>
      </c>
      <c r="J133" s="39" t="s">
        <v>308</v>
      </c>
      <c r="K133" s="43">
        <v>6</v>
      </c>
      <c r="L133" s="28" t="s">
        <v>38</v>
      </c>
      <c r="M133" s="41">
        <f t="shared" si="4"/>
        <v>11500</v>
      </c>
      <c r="N133" s="42">
        <v>69000</v>
      </c>
      <c r="O133" s="43"/>
      <c r="P133" s="59">
        <v>69000</v>
      </c>
      <c r="Q133" s="59"/>
      <c r="R133" s="59"/>
      <c r="S133" s="59"/>
      <c r="T133" s="59"/>
      <c r="U133" s="59">
        <f>RawDataGenPO[[#This Row],[Total price]]-RawDataGenPO[[#This Row],[Column1]]-RawDataGenPO[[#This Row],[Column14]]-RawDataGenPO[[#This Row],[Column13]]-RawDataGenPO[[#This Row],[Column12]]</f>
        <v>0</v>
      </c>
      <c r="V133" s="33" t="s">
        <v>211</v>
      </c>
      <c r="W133" s="44" t="s">
        <v>8</v>
      </c>
      <c r="X133" s="28" t="s">
        <v>416</v>
      </c>
      <c r="Y133" s="35">
        <v>45676</v>
      </c>
      <c r="Z133" s="45"/>
      <c r="AA133" s="46">
        <f>IF(RawDataGenPO[[#This Row],[Date Gen PO]]="","",RawDataGenPO[[#This Row],[Date recive bill]]-RawDataGenPO[[#This Row],[Date Gen PO]])</f>
        <v>-339</v>
      </c>
      <c r="AB133" s="47" t="str">
        <f>IF(RawDataGenPO[[#This Row],[GRN-PO date]]&gt;RawDataGenPO[[#This Row],[Lead time delivery (day)]],"over deliverry","Ontime")</f>
        <v>Ontime</v>
      </c>
      <c r="AC133" s="56" t="s">
        <v>219</v>
      </c>
      <c r="AD133" s="48"/>
    </row>
    <row r="134" spans="1:30" ht="14.25" x14ac:dyDescent="0.3">
      <c r="A134" s="28">
        <f>ROW()-ROW(RawDataGenPO[[#Headers],[No.]])</f>
        <v>133</v>
      </c>
      <c r="B134" s="33" t="s">
        <v>14</v>
      </c>
      <c r="C134" s="30">
        <v>46010</v>
      </c>
      <c r="D134" s="28" t="s">
        <v>302</v>
      </c>
      <c r="E134" s="28" t="s">
        <v>321</v>
      </c>
      <c r="F134" s="37">
        <v>46015</v>
      </c>
      <c r="G134" s="38">
        <v>60</v>
      </c>
      <c r="H134" s="28" t="s">
        <v>40</v>
      </c>
      <c r="I134" s="28">
        <v>6</v>
      </c>
      <c r="J134" s="39" t="s">
        <v>309</v>
      </c>
      <c r="K134" s="43">
        <v>12</v>
      </c>
      <c r="L134" s="28" t="s">
        <v>38</v>
      </c>
      <c r="M134" s="41">
        <f t="shared" ref="M134:M174" si="5">N134/K134</f>
        <v>14500</v>
      </c>
      <c r="N134" s="42">
        <v>174000</v>
      </c>
      <c r="O134" s="43"/>
      <c r="P134" s="59">
        <v>174000</v>
      </c>
      <c r="Q134" s="59"/>
      <c r="R134" s="59"/>
      <c r="S134" s="59"/>
      <c r="T134" s="59"/>
      <c r="U134" s="59">
        <f>RawDataGenPO[[#This Row],[Total price]]-RawDataGenPO[[#This Row],[Column1]]-RawDataGenPO[[#This Row],[Column14]]-RawDataGenPO[[#This Row],[Column13]]-RawDataGenPO[[#This Row],[Column12]]</f>
        <v>0</v>
      </c>
      <c r="V134" s="33" t="s">
        <v>211</v>
      </c>
      <c r="W134" s="44" t="s">
        <v>8</v>
      </c>
      <c r="X134" s="28" t="s">
        <v>416</v>
      </c>
      <c r="Y134" s="35">
        <v>45676</v>
      </c>
      <c r="Z134" s="45"/>
      <c r="AA134" s="46">
        <f>IF(RawDataGenPO[[#This Row],[Date Gen PO]]="","",RawDataGenPO[[#This Row],[Date recive bill]]-RawDataGenPO[[#This Row],[Date Gen PO]])</f>
        <v>-339</v>
      </c>
      <c r="AB134" s="47" t="str">
        <f>IF(RawDataGenPO[[#This Row],[GRN-PO date]]&gt;RawDataGenPO[[#This Row],[Lead time delivery (day)]],"over deliverry","Ontime")</f>
        <v>Ontime</v>
      </c>
      <c r="AC134" s="56" t="s">
        <v>219</v>
      </c>
      <c r="AD134" s="48"/>
    </row>
    <row r="135" spans="1:30" ht="14.25" x14ac:dyDescent="0.3">
      <c r="A135" s="28">
        <f>ROW()-ROW(RawDataGenPO[[#Headers],[No.]])</f>
        <v>134</v>
      </c>
      <c r="B135" s="33" t="s">
        <v>14</v>
      </c>
      <c r="C135" s="30">
        <v>46010</v>
      </c>
      <c r="D135" s="28" t="s">
        <v>302</v>
      </c>
      <c r="E135" s="28" t="s">
        <v>321</v>
      </c>
      <c r="F135" s="37">
        <v>46015</v>
      </c>
      <c r="G135" s="38">
        <v>60</v>
      </c>
      <c r="H135" s="28" t="s">
        <v>40</v>
      </c>
      <c r="I135" s="28">
        <v>7</v>
      </c>
      <c r="J135" s="39" t="s">
        <v>310</v>
      </c>
      <c r="K135" s="43">
        <v>7</v>
      </c>
      <c r="L135" s="28" t="s">
        <v>38</v>
      </c>
      <c r="M135" s="41">
        <f t="shared" si="5"/>
        <v>8700</v>
      </c>
      <c r="N135" s="42">
        <v>60900</v>
      </c>
      <c r="O135" s="43"/>
      <c r="P135" s="59">
        <v>60900</v>
      </c>
      <c r="Q135" s="59"/>
      <c r="R135" s="59"/>
      <c r="S135" s="59"/>
      <c r="T135" s="59"/>
      <c r="U135" s="59">
        <f>RawDataGenPO[[#This Row],[Total price]]-RawDataGenPO[[#This Row],[Column1]]-RawDataGenPO[[#This Row],[Column14]]-RawDataGenPO[[#This Row],[Column13]]-RawDataGenPO[[#This Row],[Column12]]</f>
        <v>0</v>
      </c>
      <c r="V135" s="33" t="s">
        <v>211</v>
      </c>
      <c r="W135" s="44" t="s">
        <v>8</v>
      </c>
      <c r="X135" s="28" t="s">
        <v>416</v>
      </c>
      <c r="Y135" s="35">
        <v>45676</v>
      </c>
      <c r="Z135" s="45"/>
      <c r="AA135" s="46">
        <f>IF(RawDataGenPO[[#This Row],[Date Gen PO]]="","",RawDataGenPO[[#This Row],[Date recive bill]]-RawDataGenPO[[#This Row],[Date Gen PO]])</f>
        <v>-339</v>
      </c>
      <c r="AB135" s="47" t="str">
        <f>IF(RawDataGenPO[[#This Row],[GRN-PO date]]&gt;RawDataGenPO[[#This Row],[Lead time delivery (day)]],"over deliverry","Ontime")</f>
        <v>Ontime</v>
      </c>
      <c r="AC135" s="56" t="s">
        <v>219</v>
      </c>
      <c r="AD135" s="48"/>
    </row>
    <row r="136" spans="1:30" ht="14.25" x14ac:dyDescent="0.3">
      <c r="A136" s="28">
        <f>ROW()-ROW(RawDataGenPO[[#Headers],[No.]])</f>
        <v>135</v>
      </c>
      <c r="B136" s="33" t="s">
        <v>14</v>
      </c>
      <c r="C136" s="30">
        <v>46010</v>
      </c>
      <c r="D136" s="28" t="s">
        <v>302</v>
      </c>
      <c r="E136" s="28" t="s">
        <v>321</v>
      </c>
      <c r="F136" s="37">
        <v>46015</v>
      </c>
      <c r="G136" s="38">
        <v>60</v>
      </c>
      <c r="H136" s="28" t="s">
        <v>40</v>
      </c>
      <c r="I136" s="28">
        <v>8</v>
      </c>
      <c r="J136" s="39" t="s">
        <v>311</v>
      </c>
      <c r="K136" s="43">
        <v>3</v>
      </c>
      <c r="L136" s="28" t="s">
        <v>38</v>
      </c>
      <c r="M136" s="41">
        <f t="shared" si="5"/>
        <v>7500</v>
      </c>
      <c r="N136" s="42">
        <v>22500</v>
      </c>
      <c r="O136" s="43"/>
      <c r="P136" s="59">
        <v>22500</v>
      </c>
      <c r="Q136" s="59"/>
      <c r="R136" s="59"/>
      <c r="S136" s="59"/>
      <c r="T136" s="59"/>
      <c r="U136" s="59">
        <f>RawDataGenPO[[#This Row],[Total price]]-RawDataGenPO[[#This Row],[Column1]]-RawDataGenPO[[#This Row],[Column14]]-RawDataGenPO[[#This Row],[Column13]]-RawDataGenPO[[#This Row],[Column12]]</f>
        <v>0</v>
      </c>
      <c r="V136" s="33" t="s">
        <v>211</v>
      </c>
      <c r="W136" s="44" t="s">
        <v>8</v>
      </c>
      <c r="X136" s="28" t="s">
        <v>416</v>
      </c>
      <c r="Y136" s="35">
        <v>45676</v>
      </c>
      <c r="Z136" s="45"/>
      <c r="AA136" s="46">
        <f>IF(RawDataGenPO[[#This Row],[Date Gen PO]]="","",RawDataGenPO[[#This Row],[Date recive bill]]-RawDataGenPO[[#This Row],[Date Gen PO]])</f>
        <v>-339</v>
      </c>
      <c r="AB136" s="47" t="str">
        <f>IF(RawDataGenPO[[#This Row],[GRN-PO date]]&gt;RawDataGenPO[[#This Row],[Lead time delivery (day)]],"over deliverry","Ontime")</f>
        <v>Ontime</v>
      </c>
      <c r="AC136" s="56" t="s">
        <v>219</v>
      </c>
      <c r="AD136" s="48"/>
    </row>
    <row r="137" spans="1:30" ht="14.25" x14ac:dyDescent="0.3">
      <c r="A137" s="28">
        <f>ROW()-ROW(RawDataGenPO[[#Headers],[No.]])</f>
        <v>136</v>
      </c>
      <c r="B137" s="33" t="s">
        <v>14</v>
      </c>
      <c r="C137" s="30">
        <v>46010</v>
      </c>
      <c r="D137" s="28" t="s">
        <v>302</v>
      </c>
      <c r="E137" s="28" t="s">
        <v>321</v>
      </c>
      <c r="F137" s="37">
        <v>46015</v>
      </c>
      <c r="G137" s="38">
        <v>60</v>
      </c>
      <c r="H137" s="28" t="s">
        <v>40</v>
      </c>
      <c r="I137" s="28">
        <v>9</v>
      </c>
      <c r="J137" s="39" t="s">
        <v>312</v>
      </c>
      <c r="K137" s="43">
        <v>6</v>
      </c>
      <c r="L137" s="28" t="s">
        <v>38</v>
      </c>
      <c r="M137" s="41">
        <f t="shared" si="5"/>
        <v>6800</v>
      </c>
      <c r="N137" s="42">
        <v>40800</v>
      </c>
      <c r="O137" s="43"/>
      <c r="P137" s="59">
        <v>40800</v>
      </c>
      <c r="Q137" s="59"/>
      <c r="R137" s="59"/>
      <c r="S137" s="59"/>
      <c r="T137" s="59"/>
      <c r="U137" s="59">
        <f>RawDataGenPO[[#This Row],[Total price]]-RawDataGenPO[[#This Row],[Column1]]-RawDataGenPO[[#This Row],[Column14]]-RawDataGenPO[[#This Row],[Column13]]-RawDataGenPO[[#This Row],[Column12]]</f>
        <v>0</v>
      </c>
      <c r="V137" s="33" t="s">
        <v>211</v>
      </c>
      <c r="W137" s="44" t="s">
        <v>8</v>
      </c>
      <c r="X137" s="28" t="s">
        <v>416</v>
      </c>
      <c r="Y137" s="35">
        <v>45676</v>
      </c>
      <c r="Z137" s="45"/>
      <c r="AA137" s="46">
        <f>IF(RawDataGenPO[[#This Row],[Date Gen PO]]="","",RawDataGenPO[[#This Row],[Date recive bill]]-RawDataGenPO[[#This Row],[Date Gen PO]])</f>
        <v>-339</v>
      </c>
      <c r="AB137" s="47" t="str">
        <f>IF(RawDataGenPO[[#This Row],[GRN-PO date]]&gt;RawDataGenPO[[#This Row],[Lead time delivery (day)]],"over deliverry","Ontime")</f>
        <v>Ontime</v>
      </c>
      <c r="AC137" s="56" t="s">
        <v>219</v>
      </c>
      <c r="AD137" s="48"/>
    </row>
    <row r="138" spans="1:30" ht="14.25" x14ac:dyDescent="0.3">
      <c r="A138" s="28">
        <f>ROW()-ROW(RawDataGenPO[[#Headers],[No.]])</f>
        <v>137</v>
      </c>
      <c r="B138" s="33" t="s">
        <v>14</v>
      </c>
      <c r="C138" s="30">
        <v>46010</v>
      </c>
      <c r="D138" s="28" t="s">
        <v>302</v>
      </c>
      <c r="E138" s="28" t="s">
        <v>321</v>
      </c>
      <c r="F138" s="37">
        <v>46015</v>
      </c>
      <c r="G138" s="38">
        <v>60</v>
      </c>
      <c r="H138" s="28" t="s">
        <v>40</v>
      </c>
      <c r="I138" s="28">
        <v>10</v>
      </c>
      <c r="J138" s="39" t="s">
        <v>313</v>
      </c>
      <c r="K138" s="43">
        <v>6</v>
      </c>
      <c r="L138" s="28" t="s">
        <v>38</v>
      </c>
      <c r="M138" s="41">
        <f t="shared" si="5"/>
        <v>7000</v>
      </c>
      <c r="N138" s="42">
        <v>42000</v>
      </c>
      <c r="O138" s="43"/>
      <c r="P138" s="59">
        <v>42000</v>
      </c>
      <c r="Q138" s="59"/>
      <c r="R138" s="59"/>
      <c r="S138" s="59"/>
      <c r="T138" s="59"/>
      <c r="U138" s="59">
        <f>RawDataGenPO[[#This Row],[Total price]]-RawDataGenPO[[#This Row],[Column1]]-RawDataGenPO[[#This Row],[Column14]]-RawDataGenPO[[#This Row],[Column13]]-RawDataGenPO[[#This Row],[Column12]]</f>
        <v>0</v>
      </c>
      <c r="V138" s="33" t="s">
        <v>211</v>
      </c>
      <c r="W138" s="44" t="s">
        <v>8</v>
      </c>
      <c r="X138" s="28" t="s">
        <v>416</v>
      </c>
      <c r="Y138" s="35">
        <v>45676</v>
      </c>
      <c r="Z138" s="45"/>
      <c r="AA138" s="46">
        <f>IF(RawDataGenPO[[#This Row],[Date Gen PO]]="","",RawDataGenPO[[#This Row],[Date recive bill]]-RawDataGenPO[[#This Row],[Date Gen PO]])</f>
        <v>-339</v>
      </c>
      <c r="AB138" s="47" t="str">
        <f>IF(RawDataGenPO[[#This Row],[GRN-PO date]]&gt;RawDataGenPO[[#This Row],[Lead time delivery (day)]],"over deliverry","Ontime")</f>
        <v>Ontime</v>
      </c>
      <c r="AC138" s="56" t="s">
        <v>219</v>
      </c>
      <c r="AD138" s="48"/>
    </row>
    <row r="139" spans="1:30" ht="14.25" x14ac:dyDescent="0.3">
      <c r="A139" s="28">
        <f>ROW()-ROW(RawDataGenPO[[#Headers],[No.]])</f>
        <v>138</v>
      </c>
      <c r="B139" s="33" t="s">
        <v>14</v>
      </c>
      <c r="C139" s="30">
        <v>46010</v>
      </c>
      <c r="D139" s="28" t="s">
        <v>302</v>
      </c>
      <c r="E139" s="28" t="s">
        <v>321</v>
      </c>
      <c r="F139" s="37">
        <v>46015</v>
      </c>
      <c r="G139" s="38">
        <v>60</v>
      </c>
      <c r="H139" s="28" t="s">
        <v>40</v>
      </c>
      <c r="I139" s="28">
        <v>11</v>
      </c>
      <c r="J139" s="39" t="s">
        <v>314</v>
      </c>
      <c r="K139" s="43">
        <v>10</v>
      </c>
      <c r="L139" s="28" t="s">
        <v>38</v>
      </c>
      <c r="M139" s="41">
        <f t="shared" si="5"/>
        <v>6500</v>
      </c>
      <c r="N139" s="42">
        <v>65000</v>
      </c>
      <c r="O139" s="43"/>
      <c r="P139" s="59">
        <v>65000</v>
      </c>
      <c r="Q139" s="59"/>
      <c r="R139" s="59"/>
      <c r="S139" s="59"/>
      <c r="T139" s="59"/>
      <c r="U139" s="59">
        <f>RawDataGenPO[[#This Row],[Total price]]-RawDataGenPO[[#This Row],[Column1]]-RawDataGenPO[[#This Row],[Column14]]-RawDataGenPO[[#This Row],[Column13]]-RawDataGenPO[[#This Row],[Column12]]</f>
        <v>0</v>
      </c>
      <c r="V139" s="33" t="s">
        <v>211</v>
      </c>
      <c r="W139" s="44" t="s">
        <v>8</v>
      </c>
      <c r="X139" s="28" t="s">
        <v>416</v>
      </c>
      <c r="Y139" s="35">
        <v>45676</v>
      </c>
      <c r="Z139" s="45"/>
      <c r="AA139" s="46">
        <f>IF(RawDataGenPO[[#This Row],[Date Gen PO]]="","",RawDataGenPO[[#This Row],[Date recive bill]]-RawDataGenPO[[#This Row],[Date Gen PO]])</f>
        <v>-339</v>
      </c>
      <c r="AB139" s="47" t="str">
        <f>IF(RawDataGenPO[[#This Row],[GRN-PO date]]&gt;RawDataGenPO[[#This Row],[Lead time delivery (day)]],"over deliverry","Ontime")</f>
        <v>Ontime</v>
      </c>
      <c r="AC139" s="56" t="s">
        <v>219</v>
      </c>
      <c r="AD139" s="48"/>
    </row>
    <row r="140" spans="1:30" ht="14.25" x14ac:dyDescent="0.3">
      <c r="A140" s="28">
        <f>ROW()-ROW(RawDataGenPO[[#Headers],[No.]])</f>
        <v>139</v>
      </c>
      <c r="B140" s="33" t="s">
        <v>14</v>
      </c>
      <c r="C140" s="30">
        <v>46010</v>
      </c>
      <c r="D140" s="28" t="s">
        <v>302</v>
      </c>
      <c r="E140" s="28" t="s">
        <v>321</v>
      </c>
      <c r="F140" s="37">
        <v>46015</v>
      </c>
      <c r="G140" s="38">
        <v>60</v>
      </c>
      <c r="H140" s="28" t="s">
        <v>40</v>
      </c>
      <c r="I140" s="28">
        <v>12</v>
      </c>
      <c r="J140" s="39" t="s">
        <v>315</v>
      </c>
      <c r="K140" s="43">
        <v>24</v>
      </c>
      <c r="L140" s="28" t="s">
        <v>38</v>
      </c>
      <c r="M140" s="41">
        <f t="shared" si="5"/>
        <v>5800</v>
      </c>
      <c r="N140" s="42">
        <v>139200</v>
      </c>
      <c r="O140" s="43"/>
      <c r="P140" s="59">
        <v>139200</v>
      </c>
      <c r="Q140" s="59"/>
      <c r="R140" s="59"/>
      <c r="S140" s="59"/>
      <c r="T140" s="59"/>
      <c r="U140" s="59">
        <f>RawDataGenPO[[#This Row],[Total price]]-RawDataGenPO[[#This Row],[Column1]]-RawDataGenPO[[#This Row],[Column14]]-RawDataGenPO[[#This Row],[Column13]]-RawDataGenPO[[#This Row],[Column12]]</f>
        <v>0</v>
      </c>
      <c r="V140" s="33" t="s">
        <v>211</v>
      </c>
      <c r="W140" s="44" t="s">
        <v>8</v>
      </c>
      <c r="X140" s="28" t="s">
        <v>416</v>
      </c>
      <c r="Y140" s="35">
        <v>45676</v>
      </c>
      <c r="Z140" s="45"/>
      <c r="AA140" s="46">
        <f>IF(RawDataGenPO[[#This Row],[Date Gen PO]]="","",RawDataGenPO[[#This Row],[Date recive bill]]-RawDataGenPO[[#This Row],[Date Gen PO]])</f>
        <v>-339</v>
      </c>
      <c r="AB140" s="47" t="str">
        <f>IF(RawDataGenPO[[#This Row],[GRN-PO date]]&gt;RawDataGenPO[[#This Row],[Lead time delivery (day)]],"over deliverry","Ontime")</f>
        <v>Ontime</v>
      </c>
      <c r="AC140" s="56" t="s">
        <v>219</v>
      </c>
      <c r="AD140" s="48"/>
    </row>
    <row r="141" spans="1:30" ht="14.25" x14ac:dyDescent="0.3">
      <c r="A141" s="28">
        <f>ROW()-ROW(RawDataGenPO[[#Headers],[No.]])</f>
        <v>140</v>
      </c>
      <c r="B141" s="33" t="s">
        <v>14</v>
      </c>
      <c r="C141" s="30">
        <v>46010</v>
      </c>
      <c r="D141" s="28" t="s">
        <v>302</v>
      </c>
      <c r="E141" s="28" t="s">
        <v>321</v>
      </c>
      <c r="F141" s="37">
        <v>46015</v>
      </c>
      <c r="G141" s="38">
        <v>60</v>
      </c>
      <c r="H141" s="28" t="s">
        <v>40</v>
      </c>
      <c r="I141" s="28">
        <v>13</v>
      </c>
      <c r="J141" s="39" t="s">
        <v>316</v>
      </c>
      <c r="K141" s="43">
        <v>3</v>
      </c>
      <c r="L141" s="28" t="s">
        <v>38</v>
      </c>
      <c r="M141" s="41">
        <f t="shared" si="5"/>
        <v>10500</v>
      </c>
      <c r="N141" s="42">
        <v>31500</v>
      </c>
      <c r="O141" s="43"/>
      <c r="P141" s="59">
        <v>31500</v>
      </c>
      <c r="Q141" s="59"/>
      <c r="R141" s="59"/>
      <c r="S141" s="59"/>
      <c r="T141" s="59"/>
      <c r="U141" s="59">
        <f>RawDataGenPO[[#This Row],[Total price]]-RawDataGenPO[[#This Row],[Column1]]-RawDataGenPO[[#This Row],[Column14]]-RawDataGenPO[[#This Row],[Column13]]-RawDataGenPO[[#This Row],[Column12]]</f>
        <v>0</v>
      </c>
      <c r="V141" s="33" t="s">
        <v>211</v>
      </c>
      <c r="W141" s="44" t="s">
        <v>8</v>
      </c>
      <c r="X141" s="28" t="s">
        <v>416</v>
      </c>
      <c r="Y141" s="35">
        <v>45676</v>
      </c>
      <c r="Z141" s="45"/>
      <c r="AA141" s="46">
        <f>IF(RawDataGenPO[[#This Row],[Date Gen PO]]="","",RawDataGenPO[[#This Row],[Date recive bill]]-RawDataGenPO[[#This Row],[Date Gen PO]])</f>
        <v>-339</v>
      </c>
      <c r="AB141" s="47" t="str">
        <f>IF(RawDataGenPO[[#This Row],[GRN-PO date]]&gt;RawDataGenPO[[#This Row],[Lead time delivery (day)]],"over deliverry","Ontime")</f>
        <v>Ontime</v>
      </c>
      <c r="AC141" s="56" t="s">
        <v>219</v>
      </c>
      <c r="AD141" s="48"/>
    </row>
    <row r="142" spans="1:30" ht="14.25" x14ac:dyDescent="0.3">
      <c r="A142" s="28">
        <f>ROW()-ROW(RawDataGenPO[[#Headers],[No.]])</f>
        <v>141</v>
      </c>
      <c r="B142" s="33" t="s">
        <v>14</v>
      </c>
      <c r="C142" s="30">
        <v>46010</v>
      </c>
      <c r="D142" s="28" t="s">
        <v>302</v>
      </c>
      <c r="E142" s="28" t="s">
        <v>321</v>
      </c>
      <c r="F142" s="37">
        <v>46015</v>
      </c>
      <c r="G142" s="38">
        <v>60</v>
      </c>
      <c r="H142" s="28" t="s">
        <v>40</v>
      </c>
      <c r="I142" s="28">
        <v>14</v>
      </c>
      <c r="J142" s="39" t="s">
        <v>317</v>
      </c>
      <c r="K142" s="43">
        <v>3</v>
      </c>
      <c r="L142" s="28" t="s">
        <v>38</v>
      </c>
      <c r="M142" s="41">
        <f t="shared" si="5"/>
        <v>16000</v>
      </c>
      <c r="N142" s="42">
        <v>48000</v>
      </c>
      <c r="O142" s="43"/>
      <c r="P142" s="59">
        <v>48000</v>
      </c>
      <c r="Q142" s="59"/>
      <c r="R142" s="59"/>
      <c r="S142" s="59"/>
      <c r="T142" s="59"/>
      <c r="U142" s="59">
        <f>RawDataGenPO[[#This Row],[Total price]]-RawDataGenPO[[#This Row],[Column1]]-RawDataGenPO[[#This Row],[Column14]]-RawDataGenPO[[#This Row],[Column13]]-RawDataGenPO[[#This Row],[Column12]]</f>
        <v>0</v>
      </c>
      <c r="V142" s="33" t="s">
        <v>211</v>
      </c>
      <c r="W142" s="44" t="s">
        <v>8</v>
      </c>
      <c r="X142" s="28" t="s">
        <v>416</v>
      </c>
      <c r="Y142" s="35">
        <v>45676</v>
      </c>
      <c r="Z142" s="45"/>
      <c r="AA142" s="46">
        <f>IF(RawDataGenPO[[#This Row],[Date Gen PO]]="","",RawDataGenPO[[#This Row],[Date recive bill]]-RawDataGenPO[[#This Row],[Date Gen PO]])</f>
        <v>-339</v>
      </c>
      <c r="AB142" s="47" t="str">
        <f>IF(RawDataGenPO[[#This Row],[GRN-PO date]]&gt;RawDataGenPO[[#This Row],[Lead time delivery (day)]],"over deliverry","Ontime")</f>
        <v>Ontime</v>
      </c>
      <c r="AC142" s="56" t="s">
        <v>219</v>
      </c>
      <c r="AD142" s="48"/>
    </row>
    <row r="143" spans="1:30" ht="14.25" x14ac:dyDescent="0.3">
      <c r="A143" s="28">
        <f>ROW()-ROW(RawDataGenPO[[#Headers],[No.]])</f>
        <v>142</v>
      </c>
      <c r="B143" s="33" t="s">
        <v>14</v>
      </c>
      <c r="C143" s="30">
        <v>46010</v>
      </c>
      <c r="D143" s="28" t="s">
        <v>302</v>
      </c>
      <c r="E143" s="28" t="s">
        <v>321</v>
      </c>
      <c r="F143" s="37">
        <v>46015</v>
      </c>
      <c r="G143" s="38">
        <v>60</v>
      </c>
      <c r="H143" s="28" t="s">
        <v>40</v>
      </c>
      <c r="I143" s="28">
        <v>15</v>
      </c>
      <c r="J143" s="39" t="s">
        <v>318</v>
      </c>
      <c r="K143" s="43">
        <v>5</v>
      </c>
      <c r="L143" s="28" t="s">
        <v>38</v>
      </c>
      <c r="M143" s="41">
        <f t="shared" si="5"/>
        <v>17500</v>
      </c>
      <c r="N143" s="42">
        <v>87500</v>
      </c>
      <c r="O143" s="43"/>
      <c r="P143" s="59">
        <v>87500</v>
      </c>
      <c r="Q143" s="59"/>
      <c r="R143" s="59"/>
      <c r="S143" s="59"/>
      <c r="T143" s="59"/>
      <c r="U143" s="59">
        <f>RawDataGenPO[[#This Row],[Total price]]-RawDataGenPO[[#This Row],[Column1]]-RawDataGenPO[[#This Row],[Column14]]-RawDataGenPO[[#This Row],[Column13]]-RawDataGenPO[[#This Row],[Column12]]</f>
        <v>0</v>
      </c>
      <c r="V143" s="33" t="s">
        <v>211</v>
      </c>
      <c r="W143" s="44" t="s">
        <v>8</v>
      </c>
      <c r="X143" s="28" t="s">
        <v>416</v>
      </c>
      <c r="Y143" s="35">
        <v>45676</v>
      </c>
      <c r="Z143" s="45"/>
      <c r="AA143" s="46">
        <f>IF(RawDataGenPO[[#This Row],[Date Gen PO]]="","",RawDataGenPO[[#This Row],[Date recive bill]]-RawDataGenPO[[#This Row],[Date Gen PO]])</f>
        <v>-339</v>
      </c>
      <c r="AB143" s="47" t="str">
        <f>IF(RawDataGenPO[[#This Row],[GRN-PO date]]&gt;RawDataGenPO[[#This Row],[Lead time delivery (day)]],"over deliverry","Ontime")</f>
        <v>Ontime</v>
      </c>
      <c r="AC143" s="56" t="s">
        <v>219</v>
      </c>
      <c r="AD143" s="48"/>
    </row>
    <row r="144" spans="1:30" ht="14.25" x14ac:dyDescent="0.3">
      <c r="A144" s="28">
        <f>ROW()-ROW(RawDataGenPO[[#Headers],[No.]])</f>
        <v>143</v>
      </c>
      <c r="B144" s="33" t="s">
        <v>14</v>
      </c>
      <c r="C144" s="30">
        <v>46010</v>
      </c>
      <c r="D144" s="28" t="s">
        <v>302</v>
      </c>
      <c r="E144" s="28" t="s">
        <v>321</v>
      </c>
      <c r="F144" s="37">
        <v>46015</v>
      </c>
      <c r="G144" s="38">
        <v>60</v>
      </c>
      <c r="H144" s="28" t="s">
        <v>40</v>
      </c>
      <c r="I144" s="28">
        <v>16</v>
      </c>
      <c r="J144" s="39" t="s">
        <v>319</v>
      </c>
      <c r="K144" s="43">
        <v>4</v>
      </c>
      <c r="L144" s="28" t="s">
        <v>38</v>
      </c>
      <c r="M144" s="41">
        <f t="shared" si="5"/>
        <v>14000</v>
      </c>
      <c r="N144" s="42">
        <v>56000</v>
      </c>
      <c r="O144" s="43"/>
      <c r="P144" s="59">
        <v>56000</v>
      </c>
      <c r="Q144" s="59"/>
      <c r="R144" s="59"/>
      <c r="S144" s="59"/>
      <c r="T144" s="59"/>
      <c r="U144" s="59">
        <f>RawDataGenPO[[#This Row],[Total price]]-RawDataGenPO[[#This Row],[Column1]]-RawDataGenPO[[#This Row],[Column14]]-RawDataGenPO[[#This Row],[Column13]]-RawDataGenPO[[#This Row],[Column12]]</f>
        <v>0</v>
      </c>
      <c r="V144" s="33" t="s">
        <v>211</v>
      </c>
      <c r="W144" s="44" t="s">
        <v>8</v>
      </c>
      <c r="X144" s="28" t="s">
        <v>416</v>
      </c>
      <c r="Y144" s="35">
        <v>45676</v>
      </c>
      <c r="Z144" s="45"/>
      <c r="AA144" s="46">
        <f>IF(RawDataGenPO[[#This Row],[Date Gen PO]]="","",RawDataGenPO[[#This Row],[Date recive bill]]-RawDataGenPO[[#This Row],[Date Gen PO]])</f>
        <v>-339</v>
      </c>
      <c r="AB144" s="47" t="str">
        <f>IF(RawDataGenPO[[#This Row],[GRN-PO date]]&gt;RawDataGenPO[[#This Row],[Lead time delivery (day)]],"over deliverry","Ontime")</f>
        <v>Ontime</v>
      </c>
      <c r="AC144" s="56" t="s">
        <v>219</v>
      </c>
      <c r="AD144" s="48"/>
    </row>
    <row r="145" spans="1:30" ht="14.25" x14ac:dyDescent="0.3">
      <c r="A145" s="28">
        <f>ROW()-ROW(RawDataGenPO[[#Headers],[No.]])</f>
        <v>144</v>
      </c>
      <c r="B145" s="33" t="s">
        <v>14</v>
      </c>
      <c r="C145" s="30">
        <v>46010</v>
      </c>
      <c r="D145" s="28" t="s">
        <v>302</v>
      </c>
      <c r="E145" s="28" t="s">
        <v>321</v>
      </c>
      <c r="F145" s="37">
        <v>46015</v>
      </c>
      <c r="G145" s="38">
        <v>60</v>
      </c>
      <c r="H145" s="28" t="s">
        <v>40</v>
      </c>
      <c r="I145" s="28">
        <v>17</v>
      </c>
      <c r="J145" s="39" t="s">
        <v>320</v>
      </c>
      <c r="K145" s="43">
        <v>3</v>
      </c>
      <c r="L145" s="28" t="s">
        <v>38</v>
      </c>
      <c r="M145" s="41">
        <f t="shared" si="5"/>
        <v>31500</v>
      </c>
      <c r="N145" s="42">
        <v>94500</v>
      </c>
      <c r="O145" s="43"/>
      <c r="P145" s="59">
        <v>94500</v>
      </c>
      <c r="Q145" s="59"/>
      <c r="R145" s="59"/>
      <c r="S145" s="59"/>
      <c r="T145" s="59"/>
      <c r="U145" s="59">
        <f>RawDataGenPO[[#This Row],[Total price]]-RawDataGenPO[[#This Row],[Column1]]-RawDataGenPO[[#This Row],[Column14]]-RawDataGenPO[[#This Row],[Column13]]-RawDataGenPO[[#This Row],[Column12]]</f>
        <v>0</v>
      </c>
      <c r="V145" s="33" t="s">
        <v>211</v>
      </c>
      <c r="W145" s="44" t="s">
        <v>8</v>
      </c>
      <c r="X145" s="28" t="s">
        <v>416</v>
      </c>
      <c r="Y145" s="35">
        <v>45676</v>
      </c>
      <c r="Z145" s="45"/>
      <c r="AA145" s="46">
        <f>IF(RawDataGenPO[[#This Row],[Date Gen PO]]="","",RawDataGenPO[[#This Row],[Date recive bill]]-RawDataGenPO[[#This Row],[Date Gen PO]])</f>
        <v>-339</v>
      </c>
      <c r="AB145" s="47" t="str">
        <f>IF(RawDataGenPO[[#This Row],[GRN-PO date]]&gt;RawDataGenPO[[#This Row],[Lead time delivery (day)]],"over deliverry","Ontime")</f>
        <v>Ontime</v>
      </c>
      <c r="AC145" s="56" t="s">
        <v>219</v>
      </c>
      <c r="AD145" s="48"/>
    </row>
    <row r="146" spans="1:30" ht="14.25" x14ac:dyDescent="0.3">
      <c r="A146" s="28">
        <f>ROW()-ROW(RawDataGenPO[[#Headers],[No.]])</f>
        <v>145</v>
      </c>
      <c r="B146" s="33" t="s">
        <v>95</v>
      </c>
      <c r="C146" s="30">
        <v>46015</v>
      </c>
      <c r="D146" s="28" t="s">
        <v>303</v>
      </c>
      <c r="E146" s="28" t="s">
        <v>405</v>
      </c>
      <c r="F146" s="37">
        <v>46016</v>
      </c>
      <c r="G146" s="38">
        <v>60</v>
      </c>
      <c r="H146" s="28" t="s">
        <v>240</v>
      </c>
      <c r="I146" s="28">
        <v>1</v>
      </c>
      <c r="J146" s="39" t="s">
        <v>322</v>
      </c>
      <c r="K146" s="43">
        <v>1</v>
      </c>
      <c r="L146" s="28" t="s">
        <v>41</v>
      </c>
      <c r="M146" s="41">
        <f t="shared" si="5"/>
        <v>23000</v>
      </c>
      <c r="N146" s="42">
        <v>23000</v>
      </c>
      <c r="O146" s="43"/>
      <c r="P146" s="59">
        <v>23000</v>
      </c>
      <c r="Q146" s="59"/>
      <c r="R146" s="59"/>
      <c r="S146" s="59"/>
      <c r="T146" s="59"/>
      <c r="U146" s="59">
        <f>RawDataGenPO[[#This Row],[Total price]]-RawDataGenPO[[#This Row],[Column1]]-RawDataGenPO[[#This Row],[Column14]]-RawDataGenPO[[#This Row],[Column13]]-RawDataGenPO[[#This Row],[Column12]]</f>
        <v>0</v>
      </c>
      <c r="V146" s="33" t="s">
        <v>276</v>
      </c>
      <c r="W146" s="44" t="s">
        <v>8</v>
      </c>
      <c r="X146" s="28" t="s">
        <v>404</v>
      </c>
      <c r="Y146" s="35">
        <v>46039</v>
      </c>
      <c r="Z146" s="45"/>
      <c r="AA146" s="46">
        <f>IF(RawDataGenPO[[#This Row],[Date Gen PO]]="","",RawDataGenPO[[#This Row],[Date recive bill]]-RawDataGenPO[[#This Row],[Date Gen PO]])</f>
        <v>23</v>
      </c>
      <c r="AB146" s="47" t="str">
        <f>IF(RawDataGenPO[[#This Row],[GRN-PO date]]&gt;RawDataGenPO[[#This Row],[Lead time delivery (day)]],"over deliverry","Ontime")</f>
        <v>Ontime</v>
      </c>
      <c r="AC146" s="56" t="s">
        <v>444</v>
      </c>
      <c r="AD146" s="48"/>
    </row>
    <row r="147" spans="1:30" ht="14.25" x14ac:dyDescent="0.3">
      <c r="A147" s="28">
        <f>ROW()-ROW(RawDataGenPO[[#Headers],[No.]])</f>
        <v>146</v>
      </c>
      <c r="B147" s="33" t="s">
        <v>95</v>
      </c>
      <c r="C147" s="30">
        <v>46015</v>
      </c>
      <c r="D147" s="28" t="s">
        <v>323</v>
      </c>
      <c r="E147" s="28" t="s">
        <v>456</v>
      </c>
      <c r="F147" s="37">
        <v>46044</v>
      </c>
      <c r="G147" s="38">
        <v>60</v>
      </c>
      <c r="H147" s="28" t="s">
        <v>37</v>
      </c>
      <c r="I147" s="28">
        <v>1</v>
      </c>
      <c r="J147" s="39" t="s">
        <v>324</v>
      </c>
      <c r="K147" s="43">
        <v>30</v>
      </c>
      <c r="L147" s="28" t="s">
        <v>38</v>
      </c>
      <c r="M147" s="41">
        <f t="shared" si="5"/>
        <v>1595</v>
      </c>
      <c r="N147" s="42">
        <v>47850</v>
      </c>
      <c r="O147" s="43"/>
      <c r="P147" s="59">
        <v>47850</v>
      </c>
      <c r="Q147" s="59"/>
      <c r="R147" s="59"/>
      <c r="S147" s="59"/>
      <c r="T147" s="59"/>
      <c r="U147" s="59">
        <f>RawDataGenPO[[#This Row],[Total price]]-RawDataGenPO[[#This Row],[Column1]]-RawDataGenPO[[#This Row],[Column14]]-RawDataGenPO[[#This Row],[Column13]]-RawDataGenPO[[#This Row],[Column12]]</f>
        <v>0</v>
      </c>
      <c r="V147" s="33" t="s">
        <v>457</v>
      </c>
      <c r="W147" s="44" t="s">
        <v>8</v>
      </c>
      <c r="X147" s="28" t="s">
        <v>483</v>
      </c>
      <c r="Y147" s="35">
        <v>46055</v>
      </c>
      <c r="Z147" s="45"/>
      <c r="AA147" s="46">
        <f>IF(RawDataGenPO[[#This Row],[Date Gen PO]]="","",RawDataGenPO[[#This Row],[Date recive bill]]-RawDataGenPO[[#This Row],[Date Gen PO]])</f>
        <v>11</v>
      </c>
      <c r="AB147" s="47" t="str">
        <f>IF(RawDataGenPO[[#This Row],[GRN-PO date]]&gt;RawDataGenPO[[#This Row],[Lead time delivery (day)]],"over deliverry","Ontime")</f>
        <v>Ontime</v>
      </c>
      <c r="AC147" s="56" t="s">
        <v>219</v>
      </c>
      <c r="AD147" s="48"/>
    </row>
    <row r="148" spans="1:30" ht="14.25" x14ac:dyDescent="0.3">
      <c r="A148" s="28">
        <f>ROW()-ROW(RawDataGenPO[[#Headers],[No.]])</f>
        <v>147</v>
      </c>
      <c r="B148" s="33" t="s">
        <v>95</v>
      </c>
      <c r="C148" s="30">
        <v>46015</v>
      </c>
      <c r="D148" s="28" t="s">
        <v>323</v>
      </c>
      <c r="E148" s="28" t="s">
        <v>458</v>
      </c>
      <c r="F148" s="37">
        <v>46044</v>
      </c>
      <c r="G148" s="38">
        <v>60</v>
      </c>
      <c r="H148" s="28" t="s">
        <v>37</v>
      </c>
      <c r="I148" s="28">
        <v>2</v>
      </c>
      <c r="J148" s="39" t="s">
        <v>325</v>
      </c>
      <c r="K148" s="43">
        <v>16</v>
      </c>
      <c r="L148" s="28" t="s">
        <v>38</v>
      </c>
      <c r="M148" s="41">
        <f t="shared" si="5"/>
        <v>2875</v>
      </c>
      <c r="N148" s="42">
        <v>46000</v>
      </c>
      <c r="O148" s="43"/>
      <c r="P148" s="43">
        <v>46000</v>
      </c>
      <c r="Q148" s="43"/>
      <c r="R148" s="43"/>
      <c r="S148" s="43"/>
      <c r="T148" s="43"/>
      <c r="U148" s="43">
        <f>RawDataGenPO[[#This Row],[Total price]]-RawDataGenPO[[#This Row],[Column1]]-RawDataGenPO[[#This Row],[Column14]]-RawDataGenPO[[#This Row],[Column13]]-RawDataGenPO[[#This Row],[Column12]]</f>
        <v>0</v>
      </c>
      <c r="V148" s="33" t="s">
        <v>459</v>
      </c>
      <c r="W148" s="44" t="s">
        <v>8</v>
      </c>
      <c r="X148" s="28" t="s">
        <v>494</v>
      </c>
      <c r="Y148" s="35">
        <v>46058</v>
      </c>
      <c r="Z148" s="45"/>
      <c r="AA148" s="46">
        <f>IF(RawDataGenPO[[#This Row],[Date Gen PO]]="","",RawDataGenPO[[#This Row],[Date recive bill]]-RawDataGenPO[[#This Row],[Date Gen PO]])</f>
        <v>14</v>
      </c>
      <c r="AB148" s="47" t="str">
        <f>IF(RawDataGenPO[[#This Row],[GRN-PO date]]&gt;RawDataGenPO[[#This Row],[Lead time delivery (day)]],"over deliverry","Ontime")</f>
        <v>Ontime</v>
      </c>
      <c r="AC148" s="56" t="s">
        <v>219</v>
      </c>
      <c r="AD148" s="48"/>
    </row>
    <row r="149" spans="1:30" ht="42.75" x14ac:dyDescent="0.3">
      <c r="A149" s="28">
        <f>ROW()-ROW(RawDataGenPO[[#Headers],[No.]])</f>
        <v>148</v>
      </c>
      <c r="B149" s="33" t="s">
        <v>95</v>
      </c>
      <c r="C149" s="30">
        <v>46016</v>
      </c>
      <c r="D149" s="28" t="s">
        <v>326</v>
      </c>
      <c r="E149" s="28" t="s">
        <v>327</v>
      </c>
      <c r="F149" s="37">
        <v>46016</v>
      </c>
      <c r="G149" s="38">
        <v>60</v>
      </c>
      <c r="H149" s="28" t="s">
        <v>37</v>
      </c>
      <c r="I149" s="28">
        <v>1</v>
      </c>
      <c r="J149" s="39" t="s">
        <v>328</v>
      </c>
      <c r="K149" s="43">
        <v>2</v>
      </c>
      <c r="L149" s="28" t="s">
        <v>38</v>
      </c>
      <c r="M149" s="41">
        <f t="shared" si="5"/>
        <v>3450</v>
      </c>
      <c r="N149" s="42">
        <v>6900</v>
      </c>
      <c r="O149" s="43"/>
      <c r="P149" s="59">
        <v>6900</v>
      </c>
      <c r="Q149" s="59"/>
      <c r="R149" s="59"/>
      <c r="S149" s="59"/>
      <c r="T149" s="59"/>
      <c r="U149" s="59">
        <f>RawDataGenPO[[#This Row],[Total price]]-RawDataGenPO[[#This Row],[Column1]]-RawDataGenPO[[#This Row],[Column14]]-RawDataGenPO[[#This Row],[Column13]]-RawDataGenPO[[#This Row],[Column12]]</f>
        <v>0</v>
      </c>
      <c r="V149" s="33" t="s">
        <v>332</v>
      </c>
      <c r="W149" s="44" t="s">
        <v>8</v>
      </c>
      <c r="X149" s="28" t="s">
        <v>412</v>
      </c>
      <c r="Y149" s="35">
        <v>46041</v>
      </c>
      <c r="Z149" s="45"/>
      <c r="AA149" s="46">
        <f>IF(RawDataGenPO[[#This Row],[Date Gen PO]]="","",RawDataGenPO[[#This Row],[Date recive bill]]-RawDataGenPO[[#This Row],[Date Gen PO]])</f>
        <v>25</v>
      </c>
      <c r="AB149" s="47" t="str">
        <f>IF(RawDataGenPO[[#This Row],[GRN-PO date]]&gt;RawDataGenPO[[#This Row],[Lead time delivery (day)]],"over deliverry","Ontime")</f>
        <v>Ontime</v>
      </c>
      <c r="AC149" s="56" t="s">
        <v>219</v>
      </c>
      <c r="AD149" s="48"/>
    </row>
    <row r="150" spans="1:30" ht="28.5" x14ac:dyDescent="0.3">
      <c r="A150" s="28">
        <f>ROW()-ROW(RawDataGenPO[[#Headers],[No.]])</f>
        <v>149</v>
      </c>
      <c r="B150" s="33" t="s">
        <v>95</v>
      </c>
      <c r="C150" s="30">
        <v>46016</v>
      </c>
      <c r="D150" s="28" t="s">
        <v>326</v>
      </c>
      <c r="E150" s="28" t="s">
        <v>327</v>
      </c>
      <c r="F150" s="37">
        <v>46016</v>
      </c>
      <c r="G150" s="38">
        <v>60</v>
      </c>
      <c r="H150" s="28" t="s">
        <v>37</v>
      </c>
      <c r="I150" s="28">
        <v>2</v>
      </c>
      <c r="J150" s="39" t="s">
        <v>329</v>
      </c>
      <c r="K150" s="43">
        <v>2</v>
      </c>
      <c r="L150" s="28" t="s">
        <v>38</v>
      </c>
      <c r="M150" s="41">
        <f t="shared" si="5"/>
        <v>3450</v>
      </c>
      <c r="N150" s="42">
        <v>6900</v>
      </c>
      <c r="O150" s="43"/>
      <c r="P150" s="59">
        <v>6900</v>
      </c>
      <c r="Q150" s="59"/>
      <c r="R150" s="59"/>
      <c r="S150" s="59"/>
      <c r="T150" s="59"/>
      <c r="U150" s="59">
        <f>RawDataGenPO[[#This Row],[Total price]]-RawDataGenPO[[#This Row],[Column1]]-RawDataGenPO[[#This Row],[Column14]]-RawDataGenPO[[#This Row],[Column13]]-RawDataGenPO[[#This Row],[Column12]]</f>
        <v>0</v>
      </c>
      <c r="V150" s="33" t="s">
        <v>332</v>
      </c>
      <c r="W150" s="44" t="s">
        <v>8</v>
      </c>
      <c r="X150" s="28" t="s">
        <v>412</v>
      </c>
      <c r="Y150" s="35">
        <v>46041</v>
      </c>
      <c r="Z150" s="45"/>
      <c r="AA150" s="46">
        <f>IF(RawDataGenPO[[#This Row],[Date Gen PO]]="","",RawDataGenPO[[#This Row],[Date recive bill]]-RawDataGenPO[[#This Row],[Date Gen PO]])</f>
        <v>25</v>
      </c>
      <c r="AB150" s="47" t="str">
        <f>IF(RawDataGenPO[[#This Row],[GRN-PO date]]&gt;RawDataGenPO[[#This Row],[Lead time delivery (day)]],"over deliverry","Ontime")</f>
        <v>Ontime</v>
      </c>
      <c r="AC150" s="56" t="s">
        <v>219</v>
      </c>
      <c r="AD150" s="48"/>
    </row>
    <row r="151" spans="1:30" ht="28.5" x14ac:dyDescent="0.3">
      <c r="A151" s="28">
        <f>ROW()-ROW(RawDataGenPO[[#Headers],[No.]])</f>
        <v>150</v>
      </c>
      <c r="B151" s="33" t="s">
        <v>95</v>
      </c>
      <c r="C151" s="30">
        <v>46016</v>
      </c>
      <c r="D151" s="28" t="s">
        <v>326</v>
      </c>
      <c r="E151" s="28" t="s">
        <v>327</v>
      </c>
      <c r="F151" s="37">
        <v>46016</v>
      </c>
      <c r="G151" s="38">
        <v>60</v>
      </c>
      <c r="H151" s="28" t="s">
        <v>37</v>
      </c>
      <c r="I151" s="28">
        <v>3</v>
      </c>
      <c r="J151" s="39" t="s">
        <v>330</v>
      </c>
      <c r="K151" s="43">
        <v>2</v>
      </c>
      <c r="L151" s="28" t="s">
        <v>38</v>
      </c>
      <c r="M151" s="41">
        <f t="shared" si="5"/>
        <v>3450</v>
      </c>
      <c r="N151" s="42">
        <v>6900</v>
      </c>
      <c r="O151" s="43"/>
      <c r="P151" s="59">
        <v>6900</v>
      </c>
      <c r="Q151" s="59"/>
      <c r="R151" s="59"/>
      <c r="S151" s="59"/>
      <c r="T151" s="59"/>
      <c r="U151" s="59">
        <f>RawDataGenPO[[#This Row],[Total price]]-RawDataGenPO[[#This Row],[Column1]]-RawDataGenPO[[#This Row],[Column14]]-RawDataGenPO[[#This Row],[Column13]]-RawDataGenPO[[#This Row],[Column12]]</f>
        <v>0</v>
      </c>
      <c r="V151" s="33" t="s">
        <v>332</v>
      </c>
      <c r="W151" s="44" t="s">
        <v>8</v>
      </c>
      <c r="X151" s="28" t="s">
        <v>412</v>
      </c>
      <c r="Y151" s="35">
        <v>46041</v>
      </c>
      <c r="Z151" s="45"/>
      <c r="AA151" s="46">
        <f>IF(RawDataGenPO[[#This Row],[Date Gen PO]]="","",RawDataGenPO[[#This Row],[Date recive bill]]-RawDataGenPO[[#This Row],[Date Gen PO]])</f>
        <v>25</v>
      </c>
      <c r="AB151" s="47" t="str">
        <f>IF(RawDataGenPO[[#This Row],[GRN-PO date]]&gt;RawDataGenPO[[#This Row],[Lead time delivery (day)]],"over deliverry","Ontime")</f>
        <v>Ontime</v>
      </c>
      <c r="AC151" s="56" t="s">
        <v>219</v>
      </c>
      <c r="AD151" s="48"/>
    </row>
    <row r="152" spans="1:30" ht="28.5" x14ac:dyDescent="0.3">
      <c r="A152" s="28">
        <f>ROW()-ROW(RawDataGenPO[[#Headers],[No.]])</f>
        <v>151</v>
      </c>
      <c r="B152" s="33" t="s">
        <v>95</v>
      </c>
      <c r="C152" s="30">
        <v>46016</v>
      </c>
      <c r="D152" s="28" t="s">
        <v>326</v>
      </c>
      <c r="E152" s="28" t="s">
        <v>327</v>
      </c>
      <c r="F152" s="37">
        <v>46016</v>
      </c>
      <c r="G152" s="38">
        <v>60</v>
      </c>
      <c r="H152" s="28" t="s">
        <v>37</v>
      </c>
      <c r="I152" s="28">
        <v>4</v>
      </c>
      <c r="J152" s="39" t="s">
        <v>331</v>
      </c>
      <c r="K152" s="43">
        <v>2</v>
      </c>
      <c r="L152" s="28" t="s">
        <v>38</v>
      </c>
      <c r="M152" s="41">
        <f t="shared" si="5"/>
        <v>3450</v>
      </c>
      <c r="N152" s="42">
        <v>6900</v>
      </c>
      <c r="O152" s="43"/>
      <c r="P152" s="59">
        <v>6900</v>
      </c>
      <c r="Q152" s="59"/>
      <c r="R152" s="59"/>
      <c r="S152" s="59"/>
      <c r="T152" s="59"/>
      <c r="U152" s="59">
        <f>RawDataGenPO[[#This Row],[Total price]]-RawDataGenPO[[#This Row],[Column1]]-RawDataGenPO[[#This Row],[Column14]]-RawDataGenPO[[#This Row],[Column13]]-RawDataGenPO[[#This Row],[Column12]]</f>
        <v>0</v>
      </c>
      <c r="V152" s="33" t="s">
        <v>332</v>
      </c>
      <c r="W152" s="44" t="s">
        <v>8</v>
      </c>
      <c r="X152" s="28" t="s">
        <v>412</v>
      </c>
      <c r="Y152" s="35">
        <v>46041</v>
      </c>
      <c r="Z152" s="45"/>
      <c r="AA152" s="46">
        <f>IF(RawDataGenPO[[#This Row],[Date Gen PO]]="","",RawDataGenPO[[#This Row],[Date recive bill]]-RawDataGenPO[[#This Row],[Date Gen PO]])</f>
        <v>25</v>
      </c>
      <c r="AB152" s="47" t="str">
        <f>IF(RawDataGenPO[[#This Row],[GRN-PO date]]&gt;RawDataGenPO[[#This Row],[Lead time delivery (day)]],"over deliverry","Ontime")</f>
        <v>Ontime</v>
      </c>
      <c r="AC152" s="56" t="s">
        <v>219</v>
      </c>
      <c r="AD152" s="48"/>
    </row>
    <row r="153" spans="1:30" ht="14.25" x14ac:dyDescent="0.3">
      <c r="A153" s="28">
        <f>ROW()-ROW(RawDataGenPO[[#Headers],[No.]])</f>
        <v>152</v>
      </c>
      <c r="B153" s="33" t="s">
        <v>95</v>
      </c>
      <c r="C153" s="30">
        <v>46015</v>
      </c>
      <c r="D153" s="28" t="s">
        <v>333</v>
      </c>
      <c r="E153" s="28" t="s">
        <v>445</v>
      </c>
      <c r="F153" s="37">
        <v>46028</v>
      </c>
      <c r="G153" s="38">
        <v>30</v>
      </c>
      <c r="H153" s="28" t="s">
        <v>37</v>
      </c>
      <c r="I153" s="28">
        <v>1</v>
      </c>
      <c r="J153" s="39" t="s">
        <v>334</v>
      </c>
      <c r="K153" s="43">
        <v>10000</v>
      </c>
      <c r="L153" s="28" t="s">
        <v>39</v>
      </c>
      <c r="M153" s="41">
        <f t="shared" si="5"/>
        <v>6.9</v>
      </c>
      <c r="N153" s="42">
        <v>69000</v>
      </c>
      <c r="O153" s="43"/>
      <c r="P153" s="59">
        <v>69000</v>
      </c>
      <c r="Q153" s="59"/>
      <c r="R153" s="59"/>
      <c r="S153" s="59"/>
      <c r="T153" s="59"/>
      <c r="U153" s="59">
        <f>RawDataGenPO[[#This Row],[Total price]]-RawDataGenPO[[#This Row],[Column1]]-RawDataGenPO[[#This Row],[Column14]]-RawDataGenPO[[#This Row],[Column13]]-RawDataGenPO[[#This Row],[Column12]]</f>
        <v>0</v>
      </c>
      <c r="V153" s="33" t="s">
        <v>446</v>
      </c>
      <c r="W153" s="44" t="s">
        <v>8</v>
      </c>
      <c r="X153" s="28" t="s">
        <v>447</v>
      </c>
      <c r="Y153" s="35">
        <v>46035</v>
      </c>
      <c r="Z153" s="45"/>
      <c r="AA153" s="46">
        <f>IF(RawDataGenPO[[#This Row],[Date Gen PO]]="","",RawDataGenPO[[#This Row],[Date recive bill]]-RawDataGenPO[[#This Row],[Date Gen PO]])</f>
        <v>7</v>
      </c>
      <c r="AB153" s="47" t="str">
        <f>IF(RawDataGenPO[[#This Row],[GRN-PO date]]&gt;RawDataGenPO[[#This Row],[Lead time delivery (day)]],"over deliverry","Ontime")</f>
        <v>Ontime</v>
      </c>
      <c r="AC153" s="56" t="s">
        <v>223</v>
      </c>
      <c r="AD153" s="48"/>
    </row>
    <row r="154" spans="1:30" ht="14.25" x14ac:dyDescent="0.3">
      <c r="A154" s="28">
        <f>ROW()-ROW(RawDataGenPO[[#Headers],[No.]])</f>
        <v>153</v>
      </c>
      <c r="B154" s="33" t="s">
        <v>95</v>
      </c>
      <c r="C154" s="30">
        <v>46015</v>
      </c>
      <c r="D154" s="28" t="s">
        <v>333</v>
      </c>
      <c r="E154" s="28" t="s">
        <v>445</v>
      </c>
      <c r="F154" s="37">
        <v>46028</v>
      </c>
      <c r="G154" s="38">
        <v>30</v>
      </c>
      <c r="H154" s="28" t="s">
        <v>37</v>
      </c>
      <c r="I154" s="28">
        <v>2</v>
      </c>
      <c r="J154" s="39" t="s">
        <v>335</v>
      </c>
      <c r="K154" s="43">
        <v>100</v>
      </c>
      <c r="L154" s="28" t="s">
        <v>39</v>
      </c>
      <c r="M154" s="41">
        <f t="shared" si="5"/>
        <v>295</v>
      </c>
      <c r="N154" s="42">
        <v>29500</v>
      </c>
      <c r="O154" s="43"/>
      <c r="P154" s="59">
        <v>29500</v>
      </c>
      <c r="Q154" s="59"/>
      <c r="R154" s="59"/>
      <c r="S154" s="59"/>
      <c r="T154" s="59"/>
      <c r="U154" s="59">
        <f>RawDataGenPO[[#This Row],[Total price]]-RawDataGenPO[[#This Row],[Column1]]-RawDataGenPO[[#This Row],[Column14]]-RawDataGenPO[[#This Row],[Column13]]-RawDataGenPO[[#This Row],[Column12]]</f>
        <v>0</v>
      </c>
      <c r="V154" s="33" t="s">
        <v>446</v>
      </c>
      <c r="W154" s="44" t="s">
        <v>8</v>
      </c>
      <c r="X154" s="28" t="s">
        <v>448</v>
      </c>
      <c r="Y154" s="35">
        <v>46035</v>
      </c>
      <c r="Z154" s="45"/>
      <c r="AA154" s="46">
        <f>IF(RawDataGenPO[[#This Row],[Date Gen PO]]="","",RawDataGenPO[[#This Row],[Date recive bill]]-RawDataGenPO[[#This Row],[Date Gen PO]])</f>
        <v>7</v>
      </c>
      <c r="AB154" s="47" t="str">
        <f>IF(RawDataGenPO[[#This Row],[GRN-PO date]]&gt;RawDataGenPO[[#This Row],[Lead time delivery (day)]],"over deliverry","Ontime")</f>
        <v>Ontime</v>
      </c>
      <c r="AC154" s="56" t="s">
        <v>223</v>
      </c>
      <c r="AD154" s="48"/>
    </row>
    <row r="155" spans="1:30" ht="14.25" x14ac:dyDescent="0.3">
      <c r="A155" s="28">
        <f>ROW()-ROW(RawDataGenPO[[#Headers],[No.]])</f>
        <v>154</v>
      </c>
      <c r="B155" s="33" t="s">
        <v>95</v>
      </c>
      <c r="C155" s="30">
        <v>46015</v>
      </c>
      <c r="D155" s="28" t="s">
        <v>333</v>
      </c>
      <c r="E155" s="28" t="s">
        <v>445</v>
      </c>
      <c r="F155" s="37">
        <v>46028</v>
      </c>
      <c r="G155" s="38">
        <v>30</v>
      </c>
      <c r="H155" s="28" t="s">
        <v>37</v>
      </c>
      <c r="I155" s="28">
        <v>3</v>
      </c>
      <c r="J155" s="39" t="s">
        <v>336</v>
      </c>
      <c r="K155" s="43">
        <v>105</v>
      </c>
      <c r="L155" s="28" t="s">
        <v>39</v>
      </c>
      <c r="M155" s="41">
        <f t="shared" si="5"/>
        <v>235</v>
      </c>
      <c r="N155" s="42">
        <v>24675</v>
      </c>
      <c r="O155" s="43"/>
      <c r="P155" s="59">
        <v>24675</v>
      </c>
      <c r="Q155" s="59"/>
      <c r="R155" s="59"/>
      <c r="S155" s="59"/>
      <c r="T155" s="59"/>
      <c r="U155" s="59">
        <f>RawDataGenPO[[#This Row],[Total price]]-RawDataGenPO[[#This Row],[Column1]]-RawDataGenPO[[#This Row],[Column14]]-RawDataGenPO[[#This Row],[Column13]]-RawDataGenPO[[#This Row],[Column12]]</f>
        <v>0</v>
      </c>
      <c r="V155" s="33" t="s">
        <v>446</v>
      </c>
      <c r="W155" s="44" t="s">
        <v>8</v>
      </c>
      <c r="X155" s="28" t="s">
        <v>448</v>
      </c>
      <c r="Y155" s="35">
        <v>46035</v>
      </c>
      <c r="Z155" s="45"/>
      <c r="AA155" s="46">
        <f>IF(RawDataGenPO[[#This Row],[Date Gen PO]]="","",RawDataGenPO[[#This Row],[Date recive bill]]-RawDataGenPO[[#This Row],[Date Gen PO]])</f>
        <v>7</v>
      </c>
      <c r="AB155" s="47" t="str">
        <f>IF(RawDataGenPO[[#This Row],[GRN-PO date]]&gt;RawDataGenPO[[#This Row],[Lead time delivery (day)]],"over deliverry","Ontime")</f>
        <v>Ontime</v>
      </c>
      <c r="AC155" s="56" t="s">
        <v>223</v>
      </c>
      <c r="AD155" s="48"/>
    </row>
    <row r="156" spans="1:30" ht="14.25" x14ac:dyDescent="0.3">
      <c r="A156" s="28">
        <f>ROW()-ROW(RawDataGenPO[[#Headers],[No.]])</f>
        <v>155</v>
      </c>
      <c r="B156" s="33" t="s">
        <v>95</v>
      </c>
      <c r="C156" s="30">
        <v>46015</v>
      </c>
      <c r="D156" s="28" t="s">
        <v>333</v>
      </c>
      <c r="E156" s="28" t="s">
        <v>445</v>
      </c>
      <c r="F156" s="37">
        <v>46028</v>
      </c>
      <c r="G156" s="38">
        <v>30</v>
      </c>
      <c r="H156" s="28" t="s">
        <v>37</v>
      </c>
      <c r="I156" s="28">
        <v>4</v>
      </c>
      <c r="J156" s="39" t="s">
        <v>337</v>
      </c>
      <c r="K156" s="43">
        <v>60</v>
      </c>
      <c r="L156" s="28" t="s">
        <v>39</v>
      </c>
      <c r="M156" s="41">
        <f t="shared" si="5"/>
        <v>195</v>
      </c>
      <c r="N156" s="42">
        <v>11700</v>
      </c>
      <c r="O156" s="43"/>
      <c r="P156" s="59">
        <v>11700</v>
      </c>
      <c r="Q156" s="59"/>
      <c r="R156" s="59"/>
      <c r="S156" s="59"/>
      <c r="T156" s="59"/>
      <c r="U156" s="59">
        <f>RawDataGenPO[[#This Row],[Total price]]-RawDataGenPO[[#This Row],[Column1]]-RawDataGenPO[[#This Row],[Column14]]-RawDataGenPO[[#This Row],[Column13]]-RawDataGenPO[[#This Row],[Column12]]</f>
        <v>0</v>
      </c>
      <c r="V156" s="33" t="s">
        <v>446</v>
      </c>
      <c r="W156" s="44" t="s">
        <v>8</v>
      </c>
      <c r="X156" s="28" t="s">
        <v>448</v>
      </c>
      <c r="Y156" s="35">
        <v>46035</v>
      </c>
      <c r="Z156" s="45"/>
      <c r="AA156" s="46">
        <f>IF(RawDataGenPO[[#This Row],[Date Gen PO]]="","",RawDataGenPO[[#This Row],[Date recive bill]]-RawDataGenPO[[#This Row],[Date Gen PO]])</f>
        <v>7</v>
      </c>
      <c r="AB156" s="47" t="str">
        <f>IF(RawDataGenPO[[#This Row],[GRN-PO date]]&gt;RawDataGenPO[[#This Row],[Lead time delivery (day)]],"over deliverry","Ontime")</f>
        <v>Ontime</v>
      </c>
      <c r="AC156" s="56" t="s">
        <v>223</v>
      </c>
      <c r="AD156" s="48"/>
    </row>
    <row r="157" spans="1:30" ht="14.25" x14ac:dyDescent="0.3">
      <c r="A157" s="28">
        <f>ROW()-ROW(RawDataGenPO[[#Headers],[No.]])</f>
        <v>156</v>
      </c>
      <c r="B157" s="33" t="s">
        <v>95</v>
      </c>
      <c r="C157" s="30">
        <v>46027</v>
      </c>
      <c r="D157" s="28" t="s">
        <v>395</v>
      </c>
      <c r="E157" s="28" t="s">
        <v>398</v>
      </c>
      <c r="F157" s="37">
        <v>46030</v>
      </c>
      <c r="G157" s="38">
        <v>30</v>
      </c>
      <c r="H157" s="28" t="s">
        <v>37</v>
      </c>
      <c r="I157" s="28">
        <v>1</v>
      </c>
      <c r="J157" s="39" t="s">
        <v>396</v>
      </c>
      <c r="K157" s="43">
        <v>2</v>
      </c>
      <c r="L157" s="28" t="s">
        <v>41</v>
      </c>
      <c r="M157" s="41">
        <f t="shared" si="5"/>
        <v>1200</v>
      </c>
      <c r="N157" s="42">
        <v>2400</v>
      </c>
      <c r="O157" s="43"/>
      <c r="P157" s="59">
        <v>2400</v>
      </c>
      <c r="Q157" s="59"/>
      <c r="R157" s="59"/>
      <c r="S157" s="59"/>
      <c r="T157" s="59"/>
      <c r="U157" s="59">
        <f>RawDataGenPO[[#This Row],[Total price]]-RawDataGenPO[[#This Row],[Column1]]-RawDataGenPO[[#This Row],[Column14]]-RawDataGenPO[[#This Row],[Column13]]-RawDataGenPO[[#This Row],[Column12]]</f>
        <v>0</v>
      </c>
      <c r="V157" s="33" t="s">
        <v>399</v>
      </c>
      <c r="W157" s="44" t="s">
        <v>8</v>
      </c>
      <c r="X157" s="28" t="s">
        <v>413</v>
      </c>
      <c r="Y157" s="35">
        <v>46041</v>
      </c>
      <c r="Z157" s="45"/>
      <c r="AA157" s="46">
        <f>IF(RawDataGenPO[[#This Row],[Date Gen PO]]="","",RawDataGenPO[[#This Row],[Date recive bill]]-RawDataGenPO[[#This Row],[Date Gen PO]])</f>
        <v>11</v>
      </c>
      <c r="AB157" s="47" t="str">
        <f>IF(RawDataGenPO[[#This Row],[GRN-PO date]]&gt;RawDataGenPO[[#This Row],[Lead time delivery (day)]],"over deliverry","Ontime")</f>
        <v>Ontime</v>
      </c>
      <c r="AC157" s="56" t="s">
        <v>444</v>
      </c>
      <c r="AD157" s="48"/>
    </row>
    <row r="158" spans="1:30" ht="14.25" x14ac:dyDescent="0.3">
      <c r="A158" s="28">
        <f>ROW()-ROW(RawDataGenPO[[#Headers],[No.]])</f>
        <v>157</v>
      </c>
      <c r="B158" s="33" t="s">
        <v>95</v>
      </c>
      <c r="C158" s="30">
        <v>46027</v>
      </c>
      <c r="D158" s="28" t="s">
        <v>395</v>
      </c>
      <c r="E158" s="28" t="s">
        <v>398</v>
      </c>
      <c r="F158" s="37">
        <v>46030</v>
      </c>
      <c r="G158" s="38">
        <v>30</v>
      </c>
      <c r="H158" s="28" t="s">
        <v>37</v>
      </c>
      <c r="I158" s="28">
        <v>2</v>
      </c>
      <c r="J158" s="39" t="s">
        <v>397</v>
      </c>
      <c r="K158" s="43">
        <v>2</v>
      </c>
      <c r="L158" s="28" t="s">
        <v>41</v>
      </c>
      <c r="M158" s="41">
        <f t="shared" si="5"/>
        <v>4500</v>
      </c>
      <c r="N158" s="42">
        <v>9000</v>
      </c>
      <c r="O158" s="43"/>
      <c r="P158" s="59">
        <v>9000</v>
      </c>
      <c r="Q158" s="59"/>
      <c r="R158" s="59"/>
      <c r="S158" s="59"/>
      <c r="T158" s="59"/>
      <c r="U158" s="59">
        <f>RawDataGenPO[[#This Row],[Total price]]-RawDataGenPO[[#This Row],[Column1]]-RawDataGenPO[[#This Row],[Column14]]-RawDataGenPO[[#This Row],[Column13]]-RawDataGenPO[[#This Row],[Column12]]</f>
        <v>0</v>
      </c>
      <c r="V158" s="33" t="s">
        <v>399</v>
      </c>
      <c r="W158" s="44" t="s">
        <v>8</v>
      </c>
      <c r="X158" s="28" t="s">
        <v>413</v>
      </c>
      <c r="Y158" s="35">
        <v>46041</v>
      </c>
      <c r="Z158" s="45"/>
      <c r="AA158" s="46">
        <f>IF(RawDataGenPO[[#This Row],[Date Gen PO]]="","",RawDataGenPO[[#This Row],[Date recive bill]]-RawDataGenPO[[#This Row],[Date Gen PO]])</f>
        <v>11</v>
      </c>
      <c r="AB158" s="47" t="str">
        <f>IF(RawDataGenPO[[#This Row],[GRN-PO date]]&gt;RawDataGenPO[[#This Row],[Lead time delivery (day)]],"over deliverry","Ontime")</f>
        <v>Ontime</v>
      </c>
      <c r="AC158" s="56" t="s">
        <v>444</v>
      </c>
      <c r="AD158" s="48"/>
    </row>
    <row r="159" spans="1:30" ht="14.25" x14ac:dyDescent="0.3">
      <c r="A159" s="28">
        <f>ROW()-ROW(RawDataGenPO[[#Headers],[No.]])</f>
        <v>158</v>
      </c>
      <c r="B159" s="33" t="s">
        <v>95</v>
      </c>
      <c r="C159" s="30">
        <v>46038</v>
      </c>
      <c r="D159" s="28" t="s">
        <v>400</v>
      </c>
      <c r="E159" s="28" t="s">
        <v>535</v>
      </c>
      <c r="F159" s="37">
        <v>46062</v>
      </c>
      <c r="G159" s="38">
        <v>30</v>
      </c>
      <c r="H159" s="28" t="s">
        <v>240</v>
      </c>
      <c r="I159" s="28">
        <v>1</v>
      </c>
      <c r="J159" s="39" t="s">
        <v>322</v>
      </c>
      <c r="K159" s="43">
        <v>1</v>
      </c>
      <c r="L159" s="28" t="s">
        <v>41</v>
      </c>
      <c r="M159" s="41">
        <f t="shared" si="5"/>
        <v>23000</v>
      </c>
      <c r="N159" s="42">
        <v>23000</v>
      </c>
      <c r="O159" s="43"/>
      <c r="P159" s="74">
        <v>23000</v>
      </c>
      <c r="Q159" s="74"/>
      <c r="R159" s="74"/>
      <c r="S159" s="74"/>
      <c r="T159" s="74"/>
      <c r="U159" s="74">
        <f>RawDataGenPO[[#This Row],[Total price]]-RawDataGenPO[[#This Row],[Column1]]-RawDataGenPO[[#This Row],[Column14]]-RawDataGenPO[[#This Row],[Column13]]-RawDataGenPO[[#This Row],[Column12]]</f>
        <v>0</v>
      </c>
      <c r="V159" s="33" t="s">
        <v>276</v>
      </c>
      <c r="W159" s="44" t="s">
        <v>8</v>
      </c>
      <c r="X159" s="28" t="s">
        <v>536</v>
      </c>
      <c r="Y159" s="35">
        <v>46062</v>
      </c>
      <c r="Z159" s="45"/>
      <c r="AA159" s="46">
        <f>IF(RawDataGenPO[[#This Row],[Date Gen PO]]="","",RawDataGenPO[[#This Row],[Date recive bill]]-RawDataGenPO[[#This Row],[Date Gen PO]])</f>
        <v>0</v>
      </c>
      <c r="AB159" s="47" t="str">
        <f>IF(RawDataGenPO[[#This Row],[GRN-PO date]]&gt;RawDataGenPO[[#This Row],[Lead time delivery (day)]],"over deliverry","Ontime")</f>
        <v>Ontime</v>
      </c>
      <c r="AC159" s="56" t="s">
        <v>444</v>
      </c>
      <c r="AD159" s="48"/>
    </row>
    <row r="160" spans="1:30" ht="14.25" x14ac:dyDescent="0.3">
      <c r="A160" s="28">
        <f>ROW()-ROW(RawDataGenPO[[#Headers],[No.]])</f>
        <v>159</v>
      </c>
      <c r="B160" s="33" t="s">
        <v>14</v>
      </c>
      <c r="C160" s="30">
        <v>46038</v>
      </c>
      <c r="D160" s="28" t="s">
        <v>401</v>
      </c>
      <c r="E160" s="28" t="s">
        <v>460</v>
      </c>
      <c r="F160" s="37">
        <v>46046</v>
      </c>
      <c r="G160" s="38">
        <v>240</v>
      </c>
      <c r="H160" s="28" t="s">
        <v>40</v>
      </c>
      <c r="I160" s="28">
        <v>1</v>
      </c>
      <c r="J160" s="39" t="s">
        <v>402</v>
      </c>
      <c r="K160" s="43">
        <v>1</v>
      </c>
      <c r="L160" s="28" t="s">
        <v>41</v>
      </c>
      <c r="M160" s="41">
        <f t="shared" si="5"/>
        <v>1520000</v>
      </c>
      <c r="N160" s="42">
        <v>1520000</v>
      </c>
      <c r="O160" s="43"/>
      <c r="P160" s="43"/>
      <c r="Q160" s="43"/>
      <c r="R160" s="43"/>
      <c r="S160" s="43"/>
      <c r="T160" s="43"/>
      <c r="U160" s="43">
        <f>RawDataGenPO[[#This Row],[Total price]]-RawDataGenPO[[#This Row],[Column1]]-RawDataGenPO[[#This Row],[Column14]]-RawDataGenPO[[#This Row],[Column13]]-RawDataGenPO[[#This Row],[Column12]]</f>
        <v>1520000</v>
      </c>
      <c r="V160" s="33" t="s">
        <v>461</v>
      </c>
      <c r="W160" s="44" t="s">
        <v>9</v>
      </c>
      <c r="Z160" s="45"/>
      <c r="AA160" s="46">
        <f>IF(RawDataGenPO[[#This Row],[Date Gen PO]]="","",RawDataGenPO[[#This Row],[Date recive bill]]-RawDataGenPO[[#This Row],[Date Gen PO]])</f>
        <v>-46046</v>
      </c>
      <c r="AB160" s="47" t="str">
        <f>IF(RawDataGenPO[[#This Row],[GRN-PO date]]&gt;RawDataGenPO[[#This Row],[Lead time delivery (day)]],"over deliverry","Ontime")</f>
        <v>Ontime</v>
      </c>
      <c r="AC160" s="56" t="s">
        <v>220</v>
      </c>
      <c r="AD160" s="48"/>
    </row>
    <row r="161" spans="1:30" ht="14.25" x14ac:dyDescent="0.3">
      <c r="A161" s="28">
        <f>ROW()-ROW(RawDataGenPO[[#Headers],[No.]])</f>
        <v>160</v>
      </c>
      <c r="B161" s="33" t="s">
        <v>14</v>
      </c>
      <c r="C161" s="30">
        <v>46038</v>
      </c>
      <c r="D161" s="28" t="s">
        <v>401</v>
      </c>
      <c r="E161" s="28" t="s">
        <v>460</v>
      </c>
      <c r="F161" s="37">
        <v>46046</v>
      </c>
      <c r="G161" s="38">
        <v>240</v>
      </c>
      <c r="H161" s="28" t="s">
        <v>40</v>
      </c>
      <c r="I161" s="28">
        <v>2</v>
      </c>
      <c r="J161" s="39" t="s">
        <v>403</v>
      </c>
      <c r="K161" s="43">
        <v>1</v>
      </c>
      <c r="L161" s="28" t="s">
        <v>41</v>
      </c>
      <c r="M161" s="41">
        <f t="shared" si="5"/>
        <v>720000</v>
      </c>
      <c r="N161" s="42">
        <v>720000</v>
      </c>
      <c r="O161" s="43"/>
      <c r="P161" s="43"/>
      <c r="Q161" s="43"/>
      <c r="R161" s="43"/>
      <c r="S161" s="43"/>
      <c r="T161" s="43"/>
      <c r="U161" s="43">
        <f>RawDataGenPO[[#This Row],[Total price]]-RawDataGenPO[[#This Row],[Column1]]-RawDataGenPO[[#This Row],[Column14]]-RawDataGenPO[[#This Row],[Column13]]-RawDataGenPO[[#This Row],[Column12]]</f>
        <v>720000</v>
      </c>
      <c r="V161" s="33" t="s">
        <v>461</v>
      </c>
      <c r="W161" s="44" t="s">
        <v>9</v>
      </c>
      <c r="Z161" s="45"/>
      <c r="AA161" s="46">
        <f>IF(RawDataGenPO[[#This Row],[Date Gen PO]]="","",RawDataGenPO[[#This Row],[Date recive bill]]-RawDataGenPO[[#This Row],[Date Gen PO]])</f>
        <v>-46046</v>
      </c>
      <c r="AB161" s="47" t="str">
        <f>IF(RawDataGenPO[[#This Row],[GRN-PO date]]&gt;RawDataGenPO[[#This Row],[Lead time delivery (day)]],"over deliverry","Ontime")</f>
        <v>Ontime</v>
      </c>
      <c r="AC161" s="56" t="s">
        <v>220</v>
      </c>
      <c r="AD161" s="48"/>
    </row>
    <row r="162" spans="1:30" ht="14.25" x14ac:dyDescent="0.3">
      <c r="A162" s="28">
        <f>ROW()-ROW(RawDataGenPO[[#Headers],[No.]])</f>
        <v>161</v>
      </c>
      <c r="B162" s="33" t="s">
        <v>95</v>
      </c>
      <c r="C162" s="30">
        <v>46041</v>
      </c>
      <c r="D162" s="28" t="s">
        <v>418</v>
      </c>
      <c r="E162" s="28" t="s">
        <v>426</v>
      </c>
      <c r="F162" s="37">
        <v>46042</v>
      </c>
      <c r="G162" s="38">
        <v>30</v>
      </c>
      <c r="H162" s="28" t="s">
        <v>37</v>
      </c>
      <c r="I162" s="28">
        <v>1</v>
      </c>
      <c r="J162" s="39" t="s">
        <v>419</v>
      </c>
      <c r="K162" s="43">
        <v>2</v>
      </c>
      <c r="L162" s="28" t="s">
        <v>425</v>
      </c>
      <c r="M162" s="41">
        <f t="shared" si="5"/>
        <v>622.5</v>
      </c>
      <c r="N162" s="42">
        <v>1245</v>
      </c>
      <c r="O162" s="43"/>
      <c r="P162" s="59">
        <v>1245</v>
      </c>
      <c r="Q162" s="59"/>
      <c r="R162" s="59"/>
      <c r="S162" s="59"/>
      <c r="T162" s="59"/>
      <c r="U162" s="59">
        <f>RawDataGenPO[[#This Row],[Total price]]-RawDataGenPO[[#This Row],[Column1]]-RawDataGenPO[[#This Row],[Column14]]-RawDataGenPO[[#This Row],[Column13]]-RawDataGenPO[[#This Row],[Column12]]</f>
        <v>0</v>
      </c>
      <c r="V162" s="33" t="s">
        <v>92</v>
      </c>
      <c r="W162" s="44" t="s">
        <v>8</v>
      </c>
      <c r="X162" s="28" t="s">
        <v>431</v>
      </c>
      <c r="Y162" s="35">
        <v>46043</v>
      </c>
      <c r="Z162" s="45"/>
      <c r="AA162" s="46">
        <f>IF(RawDataGenPO[[#This Row],[Date Gen PO]]="","",RawDataGenPO[[#This Row],[Date recive bill]]-RawDataGenPO[[#This Row],[Date Gen PO]])</f>
        <v>1</v>
      </c>
      <c r="AB162" s="47" t="str">
        <f>IF(RawDataGenPO[[#This Row],[GRN-PO date]]&gt;RawDataGenPO[[#This Row],[Lead time delivery (day)]],"over deliverry","Ontime")</f>
        <v>Ontime</v>
      </c>
      <c r="AC162" s="56" t="s">
        <v>221</v>
      </c>
      <c r="AD162" s="48"/>
    </row>
    <row r="163" spans="1:30" ht="14.25" x14ac:dyDescent="0.3">
      <c r="A163" s="28">
        <f>ROW()-ROW(RawDataGenPO[[#Headers],[No.]])</f>
        <v>162</v>
      </c>
      <c r="B163" s="33" t="s">
        <v>95</v>
      </c>
      <c r="C163" s="30">
        <v>46041</v>
      </c>
      <c r="D163" s="28" t="s">
        <v>418</v>
      </c>
      <c r="E163" s="28" t="s">
        <v>426</v>
      </c>
      <c r="F163" s="37">
        <v>46042</v>
      </c>
      <c r="G163" s="38">
        <v>30</v>
      </c>
      <c r="H163" s="28" t="s">
        <v>37</v>
      </c>
      <c r="I163" s="28">
        <v>2</v>
      </c>
      <c r="J163" s="39" t="s">
        <v>420</v>
      </c>
      <c r="K163" s="43">
        <v>5</v>
      </c>
      <c r="L163" s="28" t="s">
        <v>425</v>
      </c>
      <c r="M163" s="41">
        <f t="shared" si="5"/>
        <v>675</v>
      </c>
      <c r="N163" s="42">
        <v>3375</v>
      </c>
      <c r="O163" s="43"/>
      <c r="P163" s="59">
        <v>3375</v>
      </c>
      <c r="Q163" s="59"/>
      <c r="R163" s="59"/>
      <c r="S163" s="59"/>
      <c r="T163" s="59"/>
      <c r="U163" s="59">
        <f>RawDataGenPO[[#This Row],[Total price]]-RawDataGenPO[[#This Row],[Column1]]-RawDataGenPO[[#This Row],[Column14]]-RawDataGenPO[[#This Row],[Column13]]-RawDataGenPO[[#This Row],[Column12]]</f>
        <v>0</v>
      </c>
      <c r="V163" s="33" t="s">
        <v>92</v>
      </c>
      <c r="W163" s="44" t="s">
        <v>8</v>
      </c>
      <c r="X163" s="28" t="s">
        <v>431</v>
      </c>
      <c r="Y163" s="35">
        <v>46043</v>
      </c>
      <c r="Z163" s="45"/>
      <c r="AA163" s="46">
        <f>IF(RawDataGenPO[[#This Row],[Date Gen PO]]="","",RawDataGenPO[[#This Row],[Date recive bill]]-RawDataGenPO[[#This Row],[Date Gen PO]])</f>
        <v>1</v>
      </c>
      <c r="AB163" s="47" t="str">
        <f>IF(RawDataGenPO[[#This Row],[GRN-PO date]]&gt;RawDataGenPO[[#This Row],[Lead time delivery (day)]],"over deliverry","Ontime")</f>
        <v>Ontime</v>
      </c>
      <c r="AC163" s="56" t="s">
        <v>221</v>
      </c>
      <c r="AD163" s="48"/>
    </row>
    <row r="164" spans="1:30" ht="14.25" x14ac:dyDescent="0.3">
      <c r="A164" s="28">
        <f>ROW()-ROW(RawDataGenPO[[#Headers],[No.]])</f>
        <v>163</v>
      </c>
      <c r="B164" s="33" t="s">
        <v>95</v>
      </c>
      <c r="C164" s="30">
        <v>46041</v>
      </c>
      <c r="D164" s="28" t="s">
        <v>418</v>
      </c>
      <c r="E164" s="28" t="s">
        <v>426</v>
      </c>
      <c r="F164" s="37">
        <v>46042</v>
      </c>
      <c r="G164" s="38">
        <v>30</v>
      </c>
      <c r="H164" s="28" t="s">
        <v>37</v>
      </c>
      <c r="I164" s="28">
        <v>3</v>
      </c>
      <c r="J164" s="39" t="s">
        <v>421</v>
      </c>
      <c r="K164" s="43">
        <v>12</v>
      </c>
      <c r="L164" s="28" t="s">
        <v>425</v>
      </c>
      <c r="M164" s="41">
        <f t="shared" si="5"/>
        <v>3450</v>
      </c>
      <c r="N164" s="42">
        <v>41400</v>
      </c>
      <c r="O164" s="43"/>
      <c r="P164" s="59">
        <v>41400</v>
      </c>
      <c r="Q164" s="59"/>
      <c r="R164" s="59"/>
      <c r="S164" s="59"/>
      <c r="T164" s="59"/>
      <c r="U164" s="59">
        <f>RawDataGenPO[[#This Row],[Total price]]-RawDataGenPO[[#This Row],[Column1]]-RawDataGenPO[[#This Row],[Column14]]-RawDataGenPO[[#This Row],[Column13]]-RawDataGenPO[[#This Row],[Column12]]</f>
        <v>0</v>
      </c>
      <c r="V164" s="33" t="s">
        <v>92</v>
      </c>
      <c r="W164" s="44" t="s">
        <v>8</v>
      </c>
      <c r="X164" s="28" t="s">
        <v>431</v>
      </c>
      <c r="Y164" s="35">
        <v>46043</v>
      </c>
      <c r="Z164" s="45"/>
      <c r="AA164" s="46">
        <f>IF(RawDataGenPO[[#This Row],[Date Gen PO]]="","",RawDataGenPO[[#This Row],[Date recive bill]]-RawDataGenPO[[#This Row],[Date Gen PO]])</f>
        <v>1</v>
      </c>
      <c r="AB164" s="47" t="str">
        <f>IF(RawDataGenPO[[#This Row],[GRN-PO date]]&gt;RawDataGenPO[[#This Row],[Lead time delivery (day)]],"over deliverry","Ontime")</f>
        <v>Ontime</v>
      </c>
      <c r="AC164" s="56" t="s">
        <v>221</v>
      </c>
      <c r="AD164" s="48"/>
    </row>
    <row r="165" spans="1:30" ht="14.25" x14ac:dyDescent="0.3">
      <c r="A165" s="28">
        <f>ROW()-ROW(RawDataGenPO[[#Headers],[No.]])</f>
        <v>164</v>
      </c>
      <c r="B165" s="33" t="s">
        <v>95</v>
      </c>
      <c r="C165" s="30">
        <v>46041</v>
      </c>
      <c r="D165" s="28" t="s">
        <v>418</v>
      </c>
      <c r="E165" s="28" t="s">
        <v>426</v>
      </c>
      <c r="F165" s="37">
        <v>46042</v>
      </c>
      <c r="G165" s="38">
        <v>30</v>
      </c>
      <c r="H165" s="28" t="s">
        <v>37</v>
      </c>
      <c r="I165" s="28">
        <v>4</v>
      </c>
      <c r="J165" s="39" t="s">
        <v>422</v>
      </c>
      <c r="K165" s="43">
        <v>12</v>
      </c>
      <c r="L165" s="28" t="s">
        <v>425</v>
      </c>
      <c r="M165" s="41">
        <f t="shared" si="5"/>
        <v>2850</v>
      </c>
      <c r="N165" s="42">
        <v>34200</v>
      </c>
      <c r="O165" s="43"/>
      <c r="P165" s="59">
        <v>34200</v>
      </c>
      <c r="Q165" s="59"/>
      <c r="R165" s="59"/>
      <c r="S165" s="59"/>
      <c r="T165" s="59"/>
      <c r="U165" s="59">
        <f>RawDataGenPO[[#This Row],[Total price]]-RawDataGenPO[[#This Row],[Column1]]-RawDataGenPO[[#This Row],[Column14]]-RawDataGenPO[[#This Row],[Column13]]-RawDataGenPO[[#This Row],[Column12]]</f>
        <v>0</v>
      </c>
      <c r="V165" s="33" t="s">
        <v>92</v>
      </c>
      <c r="W165" s="44" t="s">
        <v>8</v>
      </c>
      <c r="X165" s="28" t="s">
        <v>431</v>
      </c>
      <c r="Y165" s="35">
        <v>46043</v>
      </c>
      <c r="Z165" s="45"/>
      <c r="AA165" s="46">
        <f>IF(RawDataGenPO[[#This Row],[Date Gen PO]]="","",RawDataGenPO[[#This Row],[Date recive bill]]-RawDataGenPO[[#This Row],[Date Gen PO]])</f>
        <v>1</v>
      </c>
      <c r="AB165" s="47" t="str">
        <f>IF(RawDataGenPO[[#This Row],[GRN-PO date]]&gt;RawDataGenPO[[#This Row],[Lead time delivery (day)]],"over deliverry","Ontime")</f>
        <v>Ontime</v>
      </c>
      <c r="AC165" s="56" t="s">
        <v>221</v>
      </c>
      <c r="AD165" s="48"/>
    </row>
    <row r="166" spans="1:30" ht="14.25" x14ac:dyDescent="0.3">
      <c r="A166" s="28">
        <f>ROW()-ROW(RawDataGenPO[[#Headers],[No.]])</f>
        <v>165</v>
      </c>
      <c r="B166" s="33" t="s">
        <v>95</v>
      </c>
      <c r="C166" s="30">
        <v>46041</v>
      </c>
      <c r="D166" s="28" t="s">
        <v>418</v>
      </c>
      <c r="E166" s="28" t="s">
        <v>426</v>
      </c>
      <c r="F166" s="37">
        <v>46042</v>
      </c>
      <c r="G166" s="38">
        <v>30</v>
      </c>
      <c r="H166" s="28" t="s">
        <v>37</v>
      </c>
      <c r="I166" s="28">
        <v>5</v>
      </c>
      <c r="J166" s="39" t="s">
        <v>423</v>
      </c>
      <c r="K166" s="43">
        <v>6</v>
      </c>
      <c r="L166" s="28" t="s">
        <v>425</v>
      </c>
      <c r="M166" s="41">
        <f t="shared" si="5"/>
        <v>1665</v>
      </c>
      <c r="N166" s="42">
        <v>9990</v>
      </c>
      <c r="O166" s="43"/>
      <c r="P166" s="59">
        <v>9990</v>
      </c>
      <c r="Q166" s="59"/>
      <c r="R166" s="59"/>
      <c r="S166" s="59"/>
      <c r="T166" s="59"/>
      <c r="U166" s="59">
        <f>RawDataGenPO[[#This Row],[Total price]]-RawDataGenPO[[#This Row],[Column1]]-RawDataGenPO[[#This Row],[Column14]]-RawDataGenPO[[#This Row],[Column13]]-RawDataGenPO[[#This Row],[Column12]]</f>
        <v>0</v>
      </c>
      <c r="V166" s="33" t="s">
        <v>92</v>
      </c>
      <c r="W166" s="44" t="s">
        <v>8</v>
      </c>
      <c r="X166" s="28" t="s">
        <v>431</v>
      </c>
      <c r="Y166" s="35">
        <v>46043</v>
      </c>
      <c r="Z166" s="45"/>
      <c r="AA166" s="46">
        <f>IF(RawDataGenPO[[#This Row],[Date Gen PO]]="","",RawDataGenPO[[#This Row],[Date recive bill]]-RawDataGenPO[[#This Row],[Date Gen PO]])</f>
        <v>1</v>
      </c>
      <c r="AB166" s="47" t="str">
        <f>IF(RawDataGenPO[[#This Row],[GRN-PO date]]&gt;RawDataGenPO[[#This Row],[Lead time delivery (day)]],"over deliverry","Ontime")</f>
        <v>Ontime</v>
      </c>
      <c r="AC166" s="56" t="s">
        <v>221</v>
      </c>
      <c r="AD166" s="48"/>
    </row>
    <row r="167" spans="1:30" ht="14.25" x14ac:dyDescent="0.3">
      <c r="A167" s="28">
        <f>ROW()-ROW(RawDataGenPO[[#Headers],[No.]])</f>
        <v>166</v>
      </c>
      <c r="B167" s="33" t="s">
        <v>95</v>
      </c>
      <c r="C167" s="30">
        <v>46041</v>
      </c>
      <c r="D167" s="28" t="s">
        <v>418</v>
      </c>
      <c r="E167" s="28" t="s">
        <v>426</v>
      </c>
      <c r="F167" s="37">
        <v>46042</v>
      </c>
      <c r="G167" s="38">
        <v>30</v>
      </c>
      <c r="H167" s="28" t="s">
        <v>37</v>
      </c>
      <c r="I167" s="28">
        <v>6</v>
      </c>
      <c r="J167" s="39" t="s">
        <v>424</v>
      </c>
      <c r="K167" s="43">
        <v>6</v>
      </c>
      <c r="L167" s="28" t="s">
        <v>425</v>
      </c>
      <c r="M167" s="41">
        <f t="shared" si="5"/>
        <v>2200</v>
      </c>
      <c r="N167" s="42">
        <v>13200</v>
      </c>
      <c r="O167" s="43"/>
      <c r="P167" s="59">
        <v>13200</v>
      </c>
      <c r="Q167" s="59"/>
      <c r="R167" s="59"/>
      <c r="S167" s="59"/>
      <c r="T167" s="59"/>
      <c r="U167" s="59">
        <f>RawDataGenPO[[#This Row],[Total price]]-RawDataGenPO[[#This Row],[Column1]]-RawDataGenPO[[#This Row],[Column14]]-RawDataGenPO[[#This Row],[Column13]]-RawDataGenPO[[#This Row],[Column12]]</f>
        <v>0</v>
      </c>
      <c r="V167" s="33" t="s">
        <v>92</v>
      </c>
      <c r="W167" s="44" t="s">
        <v>8</v>
      </c>
      <c r="X167" s="28" t="s">
        <v>431</v>
      </c>
      <c r="Y167" s="35">
        <v>46043</v>
      </c>
      <c r="Z167" s="45"/>
      <c r="AA167" s="46">
        <f>IF(RawDataGenPO[[#This Row],[Date Gen PO]]="","",RawDataGenPO[[#This Row],[Date recive bill]]-RawDataGenPO[[#This Row],[Date Gen PO]])</f>
        <v>1</v>
      </c>
      <c r="AB167" s="47" t="str">
        <f>IF(RawDataGenPO[[#This Row],[GRN-PO date]]&gt;RawDataGenPO[[#This Row],[Lead time delivery (day)]],"over deliverry","Ontime")</f>
        <v>Ontime</v>
      </c>
      <c r="AC167" s="56" t="s">
        <v>221</v>
      </c>
      <c r="AD167" s="48"/>
    </row>
    <row r="168" spans="1:30" ht="14.25" x14ac:dyDescent="0.3">
      <c r="A168" s="28">
        <f>ROW()-ROW(RawDataGenPO[[#Headers],[No.]])</f>
        <v>167</v>
      </c>
      <c r="B168" s="33" t="s">
        <v>95</v>
      </c>
      <c r="C168" s="30">
        <v>46043</v>
      </c>
      <c r="D168" s="28" t="s">
        <v>437</v>
      </c>
      <c r="E168" s="28" t="s">
        <v>438</v>
      </c>
      <c r="F168" s="37">
        <v>46044</v>
      </c>
      <c r="G168" s="38">
        <v>30</v>
      </c>
      <c r="H168" s="28" t="s">
        <v>117</v>
      </c>
      <c r="I168" s="28">
        <v>1</v>
      </c>
      <c r="J168" s="39" t="s">
        <v>118</v>
      </c>
      <c r="K168" s="43">
        <v>8266</v>
      </c>
      <c r="L168" s="28" t="s">
        <v>39</v>
      </c>
      <c r="M168" s="41">
        <f t="shared" si="5"/>
        <v>22.11</v>
      </c>
      <c r="N168" s="42">
        <v>182761.26</v>
      </c>
      <c r="O168" s="43"/>
      <c r="P168" s="59">
        <v>182761.26</v>
      </c>
      <c r="Q168" s="59"/>
      <c r="R168" s="59"/>
      <c r="S168" s="59"/>
      <c r="T168" s="59"/>
      <c r="U168" s="59">
        <f>RawDataGenPO[[#This Row],[Total price]]-RawDataGenPO[[#This Row],[Column1]]-RawDataGenPO[[#This Row],[Column14]]-RawDataGenPO[[#This Row],[Column13]]-RawDataGenPO[[#This Row],[Column12]]</f>
        <v>0</v>
      </c>
      <c r="V168" s="33" t="s">
        <v>466</v>
      </c>
      <c r="W168" s="44" t="s">
        <v>8</v>
      </c>
      <c r="X168" s="28" t="s">
        <v>465</v>
      </c>
      <c r="Y168" s="35">
        <v>46045</v>
      </c>
      <c r="Z168" s="45"/>
      <c r="AA168" s="46">
        <f>IF(RawDataGenPO[[#This Row],[Date Gen PO]]="","",RawDataGenPO[[#This Row],[Date recive bill]]-RawDataGenPO[[#This Row],[Date Gen PO]])</f>
        <v>1</v>
      </c>
      <c r="AB168" s="47" t="str">
        <f>IF(RawDataGenPO[[#This Row],[GRN-PO date]]&gt;RawDataGenPO[[#This Row],[Lead time delivery (day)]],"over deliverry","Ontime")</f>
        <v>Ontime</v>
      </c>
      <c r="AC168" s="56" t="s">
        <v>223</v>
      </c>
      <c r="AD168" s="48"/>
    </row>
    <row r="169" spans="1:30" ht="99.75" x14ac:dyDescent="0.3">
      <c r="A169" s="28">
        <f>ROW()-ROW(RawDataGenPO[[#Headers],[No.]])</f>
        <v>168</v>
      </c>
      <c r="B169" s="33" t="s">
        <v>95</v>
      </c>
      <c r="C169" s="30">
        <v>46043</v>
      </c>
      <c r="D169" s="28" t="s">
        <v>441</v>
      </c>
      <c r="E169" s="28" t="s">
        <v>474</v>
      </c>
      <c r="F169" s="37">
        <v>46051</v>
      </c>
      <c r="G169" s="38">
        <v>120</v>
      </c>
      <c r="H169" s="28" t="s">
        <v>37</v>
      </c>
      <c r="I169" s="28">
        <v>1</v>
      </c>
      <c r="J169" s="39" t="s">
        <v>442</v>
      </c>
      <c r="K169" s="43">
        <v>383</v>
      </c>
      <c r="L169" s="28" t="s">
        <v>41</v>
      </c>
      <c r="M169" s="41">
        <f>N169/K169</f>
        <v>100</v>
      </c>
      <c r="N169" s="42">
        <v>38300</v>
      </c>
      <c r="O169" s="43"/>
      <c r="P169" s="59">
        <v>38300</v>
      </c>
      <c r="Q169" s="59"/>
      <c r="R169" s="59"/>
      <c r="S169" s="59"/>
      <c r="T169" s="59"/>
      <c r="U169" s="59">
        <f>RawDataGenPO[[#This Row],[Total price]]-RawDataGenPO[[#This Row],[Column1]]-RawDataGenPO[[#This Row],[Column14]]-RawDataGenPO[[#This Row],[Column13]]-RawDataGenPO[[#This Row],[Column12]]</f>
        <v>0</v>
      </c>
      <c r="V169" s="33" t="s">
        <v>215</v>
      </c>
      <c r="W169" s="44" t="s">
        <v>8</v>
      </c>
      <c r="X169" s="28" t="s">
        <v>493</v>
      </c>
      <c r="Y169" s="35">
        <v>46055</v>
      </c>
      <c r="Z169" s="45"/>
      <c r="AA169" s="46">
        <f>IF(RawDataGenPO[[#This Row],[Date Gen PO]]="","",RawDataGenPO[[#This Row],[Date recive bill]]-RawDataGenPO[[#This Row],[Date Gen PO]])</f>
        <v>4</v>
      </c>
      <c r="AB169" s="47" t="str">
        <f>IF(RawDataGenPO[[#This Row],[GRN-PO date]]&gt;RawDataGenPO[[#This Row],[Lead time delivery (day)]],"over deliverry","Ontime")</f>
        <v>Ontime</v>
      </c>
      <c r="AC169" s="56" t="s">
        <v>219</v>
      </c>
      <c r="AD169" s="48"/>
    </row>
    <row r="170" spans="1:30" ht="14.25" x14ac:dyDescent="0.3">
      <c r="A170" s="28">
        <f>ROW()-ROW(RawDataGenPO[[#Headers],[No.]])</f>
        <v>169</v>
      </c>
      <c r="B170" s="33" t="s">
        <v>95</v>
      </c>
      <c r="C170" s="30">
        <v>46043</v>
      </c>
      <c r="D170" s="28" t="s">
        <v>439</v>
      </c>
      <c r="E170" s="28" t="s">
        <v>530</v>
      </c>
      <c r="F170" s="37">
        <v>46051</v>
      </c>
      <c r="G170" s="38">
        <v>30</v>
      </c>
      <c r="H170" s="28" t="s">
        <v>37</v>
      </c>
      <c r="I170" s="28">
        <v>1</v>
      </c>
      <c r="J170" s="39" t="s">
        <v>440</v>
      </c>
      <c r="K170" s="43">
        <v>30</v>
      </c>
      <c r="L170" s="28" t="s">
        <v>38</v>
      </c>
      <c r="M170" s="41">
        <f t="shared" si="5"/>
        <v>380</v>
      </c>
      <c r="N170" s="42">
        <v>11400</v>
      </c>
      <c r="O170" s="43"/>
      <c r="P170" s="59">
        <v>11400</v>
      </c>
      <c r="Q170" s="59"/>
      <c r="R170" s="59"/>
      <c r="S170" s="59"/>
      <c r="T170" s="59"/>
      <c r="U170" s="59">
        <f>RawDataGenPO[[#This Row],[Total price]]-RawDataGenPO[[#This Row],[Column1]]-RawDataGenPO[[#This Row],[Column14]]-RawDataGenPO[[#This Row],[Column13]]-RawDataGenPO[[#This Row],[Column12]]</f>
        <v>0</v>
      </c>
      <c r="V170" s="33" t="s">
        <v>532</v>
      </c>
      <c r="W170" s="44" t="s">
        <v>8</v>
      </c>
      <c r="X170" s="28" t="s">
        <v>531</v>
      </c>
      <c r="Y170" s="35">
        <v>46059</v>
      </c>
      <c r="Z170" s="45"/>
      <c r="AA170" s="46">
        <f>IF(RawDataGenPO[[#This Row],[Date Gen PO]]="","",RawDataGenPO[[#This Row],[Date recive bill]]-RawDataGenPO[[#This Row],[Date Gen PO]])</f>
        <v>8</v>
      </c>
      <c r="AB170" s="47" t="str">
        <f>IF(RawDataGenPO[[#This Row],[GRN-PO date]]&gt;RawDataGenPO[[#This Row],[Lead time delivery (day)]],"over deliverry","Ontime")</f>
        <v>Ontime</v>
      </c>
      <c r="AC170" s="56" t="s">
        <v>223</v>
      </c>
      <c r="AD170" s="48"/>
    </row>
    <row r="171" spans="1:30" ht="14.25" x14ac:dyDescent="0.3">
      <c r="A171" s="28">
        <f>ROW()-ROW(RawDataGenPO[[#Headers],[No.]])</f>
        <v>170</v>
      </c>
      <c r="B171" s="33" t="s">
        <v>95</v>
      </c>
      <c r="C171" s="30">
        <v>46045</v>
      </c>
      <c r="D171" s="28" t="s">
        <v>469</v>
      </c>
      <c r="E171" s="28" t="s">
        <v>470</v>
      </c>
      <c r="F171" s="37">
        <v>46055</v>
      </c>
      <c r="G171" s="38">
        <v>120</v>
      </c>
      <c r="H171" s="28" t="s">
        <v>471</v>
      </c>
      <c r="I171" s="28">
        <v>1</v>
      </c>
      <c r="J171" s="39" t="s">
        <v>472</v>
      </c>
      <c r="K171" s="43">
        <v>1</v>
      </c>
      <c r="L171" s="28" t="s">
        <v>41</v>
      </c>
      <c r="M171" s="41">
        <f t="shared" si="5"/>
        <v>6000</v>
      </c>
      <c r="N171" s="42">
        <v>6000</v>
      </c>
      <c r="O171" s="43"/>
      <c r="P171" s="43"/>
      <c r="Q171" s="43"/>
      <c r="R171" s="43"/>
      <c r="S171" s="43"/>
      <c r="T171" s="43"/>
      <c r="U171" s="43">
        <f>RawDataGenPO[[#This Row],[Total price]]-RawDataGenPO[[#This Row],[Column1]]-RawDataGenPO[[#This Row],[Column14]]-RawDataGenPO[[#This Row],[Column13]]-RawDataGenPO[[#This Row],[Column12]]</f>
        <v>6000</v>
      </c>
      <c r="V171" s="33" t="s">
        <v>473</v>
      </c>
      <c r="W171" s="44" t="s">
        <v>9</v>
      </c>
      <c r="Z171" s="45"/>
      <c r="AA171" s="46">
        <f>IF(RawDataGenPO[[#This Row],[Date Gen PO]]="","",RawDataGenPO[[#This Row],[Date recive bill]]-RawDataGenPO[[#This Row],[Date Gen PO]])</f>
        <v>-46055</v>
      </c>
      <c r="AB171" s="47" t="str">
        <f>IF(RawDataGenPO[[#This Row],[GRN-PO date]]&gt;RawDataGenPO[[#This Row],[Lead time delivery (day)]],"over deliverry","Ontime")</f>
        <v>Ontime</v>
      </c>
      <c r="AC171" s="56" t="s">
        <v>219</v>
      </c>
      <c r="AD171" s="48"/>
    </row>
    <row r="172" spans="1:30" ht="14.25" x14ac:dyDescent="0.3">
      <c r="A172" s="28">
        <f>ROW()-ROW(RawDataGenPO[[#Headers],[No.]])</f>
        <v>171</v>
      </c>
      <c r="B172" s="33" t="s">
        <v>95</v>
      </c>
      <c r="C172" s="30">
        <v>46052</v>
      </c>
      <c r="D172" s="28" t="s">
        <v>475</v>
      </c>
      <c r="E172" s="28" t="s">
        <v>476</v>
      </c>
      <c r="F172" s="37">
        <v>46058</v>
      </c>
      <c r="G172" s="38">
        <v>30</v>
      </c>
      <c r="H172" s="28" t="s">
        <v>37</v>
      </c>
      <c r="I172" s="28">
        <v>1</v>
      </c>
      <c r="J172" s="39" t="s">
        <v>477</v>
      </c>
      <c r="K172" s="43">
        <v>1000</v>
      </c>
      <c r="L172" s="28" t="s">
        <v>39</v>
      </c>
      <c r="M172" s="41">
        <f t="shared" si="5"/>
        <v>8.5</v>
      </c>
      <c r="N172" s="42">
        <v>8500</v>
      </c>
      <c r="O172" s="43"/>
      <c r="P172" s="59">
        <v>8500</v>
      </c>
      <c r="Q172" s="59"/>
      <c r="R172" s="59"/>
      <c r="S172" s="59"/>
      <c r="T172" s="59"/>
      <c r="U172" s="59">
        <f>RawDataGenPO[[#This Row],[Total price]]-RawDataGenPO[[#This Row],[Column1]]-RawDataGenPO[[#This Row],[Column14]]-RawDataGenPO[[#This Row],[Column13]]-RawDataGenPO[[#This Row],[Column12]]</f>
        <v>0</v>
      </c>
      <c r="V172" s="33" t="s">
        <v>446</v>
      </c>
      <c r="W172" s="44" t="s">
        <v>8</v>
      </c>
      <c r="X172" s="28" t="s">
        <v>549</v>
      </c>
      <c r="Y172" s="35">
        <v>46065</v>
      </c>
      <c r="Z172" s="45"/>
      <c r="AA172" s="46">
        <f>IF(RawDataGenPO[[#This Row],[Date Gen PO]]="","",RawDataGenPO[[#This Row],[Date recive bill]]-RawDataGenPO[[#This Row],[Date Gen PO]])</f>
        <v>7</v>
      </c>
      <c r="AB172" s="47" t="str">
        <f>IF(RawDataGenPO[[#This Row],[GRN-PO date]]&gt;RawDataGenPO[[#This Row],[Lead time delivery (day)]],"over deliverry","Ontime")</f>
        <v>Ontime</v>
      </c>
      <c r="AC172" s="56" t="s">
        <v>223</v>
      </c>
      <c r="AD172" s="48"/>
    </row>
    <row r="173" spans="1:30" ht="14.25" x14ac:dyDescent="0.3">
      <c r="A173" s="28">
        <f>ROW()-ROW(RawDataGenPO[[#Headers],[No.]])</f>
        <v>172</v>
      </c>
      <c r="B173" s="33" t="s">
        <v>95</v>
      </c>
      <c r="C173" s="30">
        <v>46052</v>
      </c>
      <c r="D173" s="28" t="s">
        <v>475</v>
      </c>
      <c r="E173" s="28" t="s">
        <v>476</v>
      </c>
      <c r="F173" s="37">
        <v>46058</v>
      </c>
      <c r="G173" s="38">
        <v>30</v>
      </c>
      <c r="H173" s="28" t="s">
        <v>37</v>
      </c>
      <c r="I173" s="28">
        <v>2</v>
      </c>
      <c r="J173" s="39" t="s">
        <v>588</v>
      </c>
      <c r="K173" s="43">
        <v>1000</v>
      </c>
      <c r="L173" s="28" t="s">
        <v>39</v>
      </c>
      <c r="M173" s="41">
        <f t="shared" si="5"/>
        <v>5.5</v>
      </c>
      <c r="N173" s="42">
        <v>5500</v>
      </c>
      <c r="O173" s="43"/>
      <c r="P173" s="59">
        <v>5500</v>
      </c>
      <c r="Q173" s="59"/>
      <c r="R173" s="59"/>
      <c r="S173" s="59"/>
      <c r="T173" s="59"/>
      <c r="U173" s="59">
        <f>RawDataGenPO[[#This Row],[Total price]]-RawDataGenPO[[#This Row],[Column1]]-RawDataGenPO[[#This Row],[Column14]]-RawDataGenPO[[#This Row],[Column13]]-RawDataGenPO[[#This Row],[Column12]]</f>
        <v>0</v>
      </c>
      <c r="V173" s="33" t="s">
        <v>446</v>
      </c>
      <c r="W173" s="44" t="s">
        <v>8</v>
      </c>
      <c r="X173" s="28" t="s">
        <v>549</v>
      </c>
      <c r="Y173" s="35">
        <v>46065</v>
      </c>
      <c r="Z173" s="45"/>
      <c r="AA173" s="46">
        <f>IF(RawDataGenPO[[#This Row],[Date Gen PO]]="","",RawDataGenPO[[#This Row],[Date recive bill]]-RawDataGenPO[[#This Row],[Date Gen PO]])</f>
        <v>7</v>
      </c>
      <c r="AB173" s="47" t="str">
        <f>IF(RawDataGenPO[[#This Row],[GRN-PO date]]&gt;RawDataGenPO[[#This Row],[Lead time delivery (day)]],"over deliverry","Ontime")</f>
        <v>Ontime</v>
      </c>
      <c r="AC173" s="56" t="s">
        <v>223</v>
      </c>
      <c r="AD173" s="48"/>
    </row>
    <row r="174" spans="1:30" ht="14.25" x14ac:dyDescent="0.3">
      <c r="A174" s="28">
        <f>ROW()-ROW(RawDataGenPO[[#Headers],[No.]])</f>
        <v>173</v>
      </c>
      <c r="B174" s="33" t="s">
        <v>95</v>
      </c>
      <c r="C174" s="30">
        <v>46052</v>
      </c>
      <c r="D174" s="28" t="s">
        <v>475</v>
      </c>
      <c r="E174" s="28" t="s">
        <v>476</v>
      </c>
      <c r="F174" s="37">
        <v>46058</v>
      </c>
      <c r="G174" s="38">
        <v>30</v>
      </c>
      <c r="H174" s="28" t="s">
        <v>37</v>
      </c>
      <c r="I174" s="28">
        <v>3</v>
      </c>
      <c r="J174" s="39" t="s">
        <v>478</v>
      </c>
      <c r="K174" s="43">
        <v>25</v>
      </c>
      <c r="L174" s="28" t="s">
        <v>39</v>
      </c>
      <c r="M174" s="41">
        <f t="shared" si="5"/>
        <v>220</v>
      </c>
      <c r="N174" s="42">
        <v>5500</v>
      </c>
      <c r="O174" s="43"/>
      <c r="P174" s="59">
        <v>5500</v>
      </c>
      <c r="Q174" s="59"/>
      <c r="R174" s="59"/>
      <c r="S174" s="59"/>
      <c r="T174" s="59"/>
      <c r="U174" s="59">
        <f>RawDataGenPO[[#This Row],[Total price]]-RawDataGenPO[[#This Row],[Column1]]-RawDataGenPO[[#This Row],[Column14]]-RawDataGenPO[[#This Row],[Column13]]-RawDataGenPO[[#This Row],[Column12]]</f>
        <v>0</v>
      </c>
      <c r="V174" s="33" t="s">
        <v>446</v>
      </c>
      <c r="W174" s="44" t="s">
        <v>8</v>
      </c>
      <c r="X174" s="28" t="s">
        <v>549</v>
      </c>
      <c r="Y174" s="35">
        <v>46065</v>
      </c>
      <c r="Z174" s="45"/>
      <c r="AA174" s="46">
        <f>IF(RawDataGenPO[[#This Row],[Date Gen PO]]="","",RawDataGenPO[[#This Row],[Date recive bill]]-RawDataGenPO[[#This Row],[Date Gen PO]])</f>
        <v>7</v>
      </c>
      <c r="AB174" s="47" t="str">
        <f>IF(RawDataGenPO[[#This Row],[GRN-PO date]]&gt;RawDataGenPO[[#This Row],[Lead time delivery (day)]],"over deliverry","Ontime")</f>
        <v>Ontime</v>
      </c>
      <c r="AC174" s="56" t="s">
        <v>223</v>
      </c>
      <c r="AD174" s="48"/>
    </row>
    <row r="175" spans="1:30" ht="14.25" x14ac:dyDescent="0.3">
      <c r="A175" s="28">
        <f>ROW()-ROW(RawDataGenPO[[#Headers],[No.]])</f>
        <v>174</v>
      </c>
      <c r="B175" s="33" t="s">
        <v>95</v>
      </c>
      <c r="C175" s="30">
        <v>46052</v>
      </c>
      <c r="D175" s="28" t="s">
        <v>475</v>
      </c>
      <c r="E175" s="28" t="s">
        <v>476</v>
      </c>
      <c r="F175" s="37">
        <v>46058</v>
      </c>
      <c r="G175" s="38">
        <v>30</v>
      </c>
      <c r="H175" s="28" t="s">
        <v>37</v>
      </c>
      <c r="I175" s="28">
        <v>4</v>
      </c>
      <c r="J175" s="39" t="s">
        <v>589</v>
      </c>
      <c r="K175" s="43">
        <v>25</v>
      </c>
      <c r="L175" s="28" t="s">
        <v>39</v>
      </c>
      <c r="M175" s="41">
        <f t="shared" ref="M175:M177" si="6">N175/K175</f>
        <v>180</v>
      </c>
      <c r="N175" s="42">
        <v>4500</v>
      </c>
      <c r="O175" s="43"/>
      <c r="P175" s="59">
        <v>4500</v>
      </c>
      <c r="Q175" s="59"/>
      <c r="R175" s="59"/>
      <c r="S175" s="59"/>
      <c r="T175" s="59"/>
      <c r="U175" s="59">
        <f>RawDataGenPO[[#This Row],[Total price]]-RawDataGenPO[[#This Row],[Column1]]-RawDataGenPO[[#This Row],[Column14]]-RawDataGenPO[[#This Row],[Column13]]-RawDataGenPO[[#This Row],[Column12]]</f>
        <v>0</v>
      </c>
      <c r="V175" s="33" t="s">
        <v>446</v>
      </c>
      <c r="W175" s="44" t="s">
        <v>8</v>
      </c>
      <c r="X175" s="28" t="s">
        <v>549</v>
      </c>
      <c r="Y175" s="35">
        <v>46065</v>
      </c>
      <c r="Z175" s="45"/>
      <c r="AA175" s="46">
        <f>IF(RawDataGenPO[[#This Row],[Date Gen PO]]="","",RawDataGenPO[[#This Row],[Date recive bill]]-RawDataGenPO[[#This Row],[Date Gen PO]])</f>
        <v>7</v>
      </c>
      <c r="AB175" s="47" t="str">
        <f>IF(RawDataGenPO[[#This Row],[GRN-PO date]]&gt;RawDataGenPO[[#This Row],[Lead time delivery (day)]],"over deliverry","Ontime")</f>
        <v>Ontime</v>
      </c>
      <c r="AC175" s="56" t="s">
        <v>223</v>
      </c>
      <c r="AD175" s="48"/>
    </row>
    <row r="176" spans="1:30" ht="187.5" customHeight="1" x14ac:dyDescent="0.3">
      <c r="A176" s="28">
        <f>ROW()-ROW(RawDataGenPO[[#Headers],[No.]])</f>
        <v>175</v>
      </c>
      <c r="B176" s="33" t="s">
        <v>14</v>
      </c>
      <c r="C176" s="30">
        <v>46052</v>
      </c>
      <c r="D176" s="28" t="s">
        <v>480</v>
      </c>
      <c r="E176" s="28" t="s">
        <v>538</v>
      </c>
      <c r="F176" s="37">
        <v>46063</v>
      </c>
      <c r="G176" s="38">
        <v>60</v>
      </c>
      <c r="H176" s="28" t="s">
        <v>40</v>
      </c>
      <c r="I176" s="28">
        <v>1</v>
      </c>
      <c r="J176" s="39" t="s">
        <v>481</v>
      </c>
      <c r="K176" s="43">
        <v>1</v>
      </c>
      <c r="L176" s="28" t="s">
        <v>41</v>
      </c>
      <c r="M176" s="41">
        <f t="shared" si="6"/>
        <v>408500</v>
      </c>
      <c r="N176" s="42">
        <v>408500</v>
      </c>
      <c r="O176" s="43"/>
      <c r="P176" s="59">
        <v>408500</v>
      </c>
      <c r="Q176" s="59"/>
      <c r="R176" s="59"/>
      <c r="S176" s="59"/>
      <c r="T176" s="59"/>
      <c r="U176" s="59">
        <f>RawDataGenPO[[#This Row],[Total price]]-RawDataGenPO[[#This Row],[Column1]]-RawDataGenPO[[#This Row],[Column14]]-RawDataGenPO[[#This Row],[Column13]]-RawDataGenPO[[#This Row],[Column12]]</f>
        <v>0</v>
      </c>
      <c r="V176" s="33" t="s">
        <v>539</v>
      </c>
      <c r="W176" s="44" t="s">
        <v>8</v>
      </c>
      <c r="X176" s="28" t="s">
        <v>560</v>
      </c>
      <c r="Y176" s="35">
        <v>46070</v>
      </c>
      <c r="Z176" s="45"/>
      <c r="AA176" s="46">
        <f>IF(RawDataGenPO[[#This Row],[Date Gen PO]]="","",RawDataGenPO[[#This Row],[Date recive bill]]-RawDataGenPO[[#This Row],[Date Gen PO]])</f>
        <v>7</v>
      </c>
      <c r="AB176" s="47" t="str">
        <f>IF(RawDataGenPO[[#This Row],[GRN-PO date]]&gt;RawDataGenPO[[#This Row],[Lead time delivery (day)]],"over deliverry","Ontime")</f>
        <v>Ontime</v>
      </c>
      <c r="AC176" s="56" t="s">
        <v>508</v>
      </c>
      <c r="AD176" s="48"/>
    </row>
    <row r="177" spans="1:30" ht="111" customHeight="1" x14ac:dyDescent="0.3">
      <c r="A177" s="28">
        <f>ROW()-ROW(RawDataGenPO[[#Headers],[No.]])</f>
        <v>176</v>
      </c>
      <c r="B177" s="33" t="s">
        <v>14</v>
      </c>
      <c r="C177" s="30">
        <v>46052</v>
      </c>
      <c r="D177" s="28" t="s">
        <v>480</v>
      </c>
      <c r="E177" s="28" t="s">
        <v>538</v>
      </c>
      <c r="F177" s="37">
        <v>46063</v>
      </c>
      <c r="G177" s="38">
        <v>60</v>
      </c>
      <c r="H177" s="28" t="s">
        <v>40</v>
      </c>
      <c r="I177" s="28">
        <v>2</v>
      </c>
      <c r="J177" s="39" t="s">
        <v>482</v>
      </c>
      <c r="K177" s="43">
        <v>1</v>
      </c>
      <c r="L177" s="28" t="s">
        <v>41</v>
      </c>
      <c r="M177" s="41">
        <f t="shared" si="6"/>
        <v>7500</v>
      </c>
      <c r="N177" s="42">
        <v>7500</v>
      </c>
      <c r="O177" s="43"/>
      <c r="P177" s="59">
        <v>7500</v>
      </c>
      <c r="Q177" s="59"/>
      <c r="R177" s="59"/>
      <c r="S177" s="59"/>
      <c r="T177" s="59"/>
      <c r="U177" s="59">
        <f>RawDataGenPO[[#This Row],[Total price]]-RawDataGenPO[[#This Row],[Column1]]-RawDataGenPO[[#This Row],[Column14]]-RawDataGenPO[[#This Row],[Column13]]-RawDataGenPO[[#This Row],[Column12]]</f>
        <v>0</v>
      </c>
      <c r="V177" s="33" t="s">
        <v>539</v>
      </c>
      <c r="W177" s="44" t="s">
        <v>8</v>
      </c>
      <c r="X177" s="28" t="s">
        <v>560</v>
      </c>
      <c r="Y177" s="35">
        <v>46070</v>
      </c>
      <c r="Z177" s="45"/>
      <c r="AA177" s="46">
        <f>IF(RawDataGenPO[[#This Row],[Date Gen PO]]="","",RawDataGenPO[[#This Row],[Date recive bill]]-RawDataGenPO[[#This Row],[Date Gen PO]])</f>
        <v>7</v>
      </c>
      <c r="AB177" s="47" t="str">
        <f>IF(RawDataGenPO[[#This Row],[GRN-PO date]]&gt;RawDataGenPO[[#This Row],[Lead time delivery (day)]],"over deliverry","Ontime")</f>
        <v>Ontime</v>
      </c>
      <c r="AC177" s="56" t="s">
        <v>508</v>
      </c>
      <c r="AD177" s="48"/>
    </row>
    <row r="178" spans="1:30" ht="14.25" x14ac:dyDescent="0.3">
      <c r="A178" s="28">
        <f>ROW()-ROW(RawDataGenPO[[#Headers],[No.]])</f>
        <v>177</v>
      </c>
      <c r="B178" s="33" t="s">
        <v>16</v>
      </c>
      <c r="C178" s="30">
        <v>46057</v>
      </c>
      <c r="D178" s="28" t="s">
        <v>495</v>
      </c>
      <c r="E178" s="28" t="s">
        <v>502</v>
      </c>
      <c r="F178" s="37">
        <v>46059</v>
      </c>
      <c r="G178" s="38">
        <v>60</v>
      </c>
      <c r="H178" s="28" t="s">
        <v>37</v>
      </c>
      <c r="I178" s="28">
        <v>1</v>
      </c>
      <c r="J178" s="39" t="s">
        <v>496</v>
      </c>
      <c r="K178" s="43">
        <v>2</v>
      </c>
      <c r="L178" s="28" t="s">
        <v>38</v>
      </c>
      <c r="M178" s="41">
        <f t="shared" ref="M178:M179" si="7">N178/K178</f>
        <v>2600</v>
      </c>
      <c r="N178" s="42">
        <v>5200</v>
      </c>
      <c r="O178" s="43"/>
      <c r="P178" s="59">
        <v>5200</v>
      </c>
      <c r="Q178" s="59"/>
      <c r="R178" s="59"/>
      <c r="S178" s="59"/>
      <c r="T178" s="59"/>
      <c r="U178" s="59">
        <f>RawDataGenPO[[#This Row],[Total price]]-RawDataGenPO[[#This Row],[Column1]]-RawDataGenPO[[#This Row],[Column14]]-RawDataGenPO[[#This Row],[Column13]]-RawDataGenPO[[#This Row],[Column12]]</f>
        <v>0</v>
      </c>
      <c r="V178" s="33" t="s">
        <v>498</v>
      </c>
      <c r="W178" s="44" t="s">
        <v>8</v>
      </c>
      <c r="X178" s="28" t="s">
        <v>537</v>
      </c>
      <c r="Y178" s="35">
        <v>46064</v>
      </c>
      <c r="Z178" s="45"/>
      <c r="AA178" s="46">
        <f>IF(RawDataGenPO[[#This Row],[Date Gen PO]]="","",RawDataGenPO[[#This Row],[Date recive bill]]-RawDataGenPO[[#This Row],[Date Gen PO]])</f>
        <v>5</v>
      </c>
      <c r="AB178" s="47" t="str">
        <f>IF(RawDataGenPO[[#This Row],[GRN-PO date]]&gt;RawDataGenPO[[#This Row],[Lead time delivery (day)]],"over deliverry","Ontime")</f>
        <v>Ontime</v>
      </c>
      <c r="AC178" s="56" t="s">
        <v>444</v>
      </c>
      <c r="AD178" s="48"/>
    </row>
    <row r="179" spans="1:30" ht="14.25" x14ac:dyDescent="0.3">
      <c r="A179" s="28">
        <f>ROW()-ROW(RawDataGenPO[[#Headers],[No.]])</f>
        <v>178</v>
      </c>
      <c r="B179" s="33" t="s">
        <v>16</v>
      </c>
      <c r="C179" s="30">
        <v>46057</v>
      </c>
      <c r="D179" s="28" t="s">
        <v>495</v>
      </c>
      <c r="E179" s="28" t="s">
        <v>502</v>
      </c>
      <c r="F179" s="37">
        <v>46059</v>
      </c>
      <c r="G179" s="38">
        <v>60</v>
      </c>
      <c r="H179" s="28" t="s">
        <v>37</v>
      </c>
      <c r="I179" s="28">
        <v>2</v>
      </c>
      <c r="J179" s="39" t="s">
        <v>497</v>
      </c>
      <c r="K179" s="43">
        <v>4</v>
      </c>
      <c r="L179" s="28" t="s">
        <v>38</v>
      </c>
      <c r="M179" s="41">
        <f t="shared" si="7"/>
        <v>450</v>
      </c>
      <c r="N179" s="42">
        <v>1800</v>
      </c>
      <c r="O179" s="43"/>
      <c r="P179" s="59">
        <v>1800</v>
      </c>
      <c r="Q179" s="59"/>
      <c r="R179" s="59"/>
      <c r="S179" s="59"/>
      <c r="T179" s="59"/>
      <c r="U179" s="59">
        <f>RawDataGenPO[[#This Row],[Total price]]-RawDataGenPO[[#This Row],[Column1]]-RawDataGenPO[[#This Row],[Column14]]-RawDataGenPO[[#This Row],[Column13]]-RawDataGenPO[[#This Row],[Column12]]</f>
        <v>0</v>
      </c>
      <c r="V179" s="33" t="s">
        <v>498</v>
      </c>
      <c r="W179" s="44" t="s">
        <v>8</v>
      </c>
      <c r="X179" s="28" t="s">
        <v>537</v>
      </c>
      <c r="Y179" s="35">
        <v>46064</v>
      </c>
      <c r="Z179" s="45"/>
      <c r="AA179" s="46">
        <f>IF(RawDataGenPO[[#This Row],[Date Gen PO]]="","",RawDataGenPO[[#This Row],[Date recive bill]]-RawDataGenPO[[#This Row],[Date Gen PO]])</f>
        <v>5</v>
      </c>
      <c r="AB179" s="47" t="str">
        <f>IF(RawDataGenPO[[#This Row],[GRN-PO date]]&gt;RawDataGenPO[[#This Row],[Lead time delivery (day)]],"over deliverry","Ontime")</f>
        <v>Ontime</v>
      </c>
      <c r="AC179" s="56" t="s">
        <v>444</v>
      </c>
      <c r="AD179" s="48"/>
    </row>
    <row r="180" spans="1:30" ht="14.25" x14ac:dyDescent="0.3">
      <c r="A180" s="28">
        <f>ROW()-ROW(RawDataGenPO[[#Headers],[No.]])</f>
        <v>179</v>
      </c>
      <c r="B180" s="33" t="s">
        <v>16</v>
      </c>
      <c r="C180" s="30">
        <v>46057</v>
      </c>
      <c r="D180" s="28" t="s">
        <v>495</v>
      </c>
      <c r="E180" s="28" t="s">
        <v>499</v>
      </c>
      <c r="F180" s="37">
        <v>46059</v>
      </c>
      <c r="G180" s="38">
        <v>60</v>
      </c>
      <c r="H180" s="28" t="s">
        <v>37</v>
      </c>
      <c r="I180" s="28">
        <v>3</v>
      </c>
      <c r="J180" s="39" t="s">
        <v>500</v>
      </c>
      <c r="K180" s="43">
        <v>2</v>
      </c>
      <c r="L180" s="28" t="s">
        <v>38</v>
      </c>
      <c r="M180" s="41">
        <f t="shared" ref="M180:M187" si="8">N180/K180</f>
        <v>750</v>
      </c>
      <c r="N180" s="42">
        <v>1500</v>
      </c>
      <c r="O180" s="43"/>
      <c r="P180" s="59">
        <v>1500</v>
      </c>
      <c r="Q180" s="59"/>
      <c r="R180" s="59"/>
      <c r="S180" s="59"/>
      <c r="T180" s="59"/>
      <c r="U180" s="59">
        <f>RawDataGenPO[[#This Row],[Total price]]-RawDataGenPO[[#This Row],[Column1]]-RawDataGenPO[[#This Row],[Column14]]-RawDataGenPO[[#This Row],[Column13]]-RawDataGenPO[[#This Row],[Column12]]</f>
        <v>0</v>
      </c>
      <c r="V180" s="33" t="s">
        <v>399</v>
      </c>
      <c r="W180" s="44" t="s">
        <v>8</v>
      </c>
      <c r="X180" s="28" t="s">
        <v>565</v>
      </c>
      <c r="Y180" s="35">
        <v>46070</v>
      </c>
      <c r="Z180" s="45"/>
      <c r="AA180" s="46">
        <f>IF(RawDataGenPO[[#This Row],[Date Gen PO]]="","",RawDataGenPO[[#This Row],[Date recive bill]]-RawDataGenPO[[#This Row],[Date Gen PO]])</f>
        <v>11</v>
      </c>
      <c r="AB180" s="47" t="str">
        <f>IF(RawDataGenPO[[#This Row],[GRN-PO date]]&gt;RawDataGenPO[[#This Row],[Lead time delivery (day)]],"over deliverry","Ontime")</f>
        <v>Ontime</v>
      </c>
      <c r="AC180" s="56" t="s">
        <v>444</v>
      </c>
      <c r="AD180" s="48"/>
    </row>
    <row r="181" spans="1:30" ht="42.75" x14ac:dyDescent="0.3">
      <c r="A181" s="28">
        <f>ROW()-ROW(RawDataGenPO[[#Headers],[No.]])</f>
        <v>180</v>
      </c>
      <c r="B181" s="33" t="s">
        <v>16</v>
      </c>
      <c r="C181" s="30">
        <v>46057</v>
      </c>
      <c r="D181" s="28" t="s">
        <v>495</v>
      </c>
      <c r="E181" s="28" t="s">
        <v>499</v>
      </c>
      <c r="F181" s="37">
        <v>46059</v>
      </c>
      <c r="G181" s="38">
        <v>60</v>
      </c>
      <c r="H181" s="28" t="s">
        <v>37</v>
      </c>
      <c r="I181" s="28">
        <v>4</v>
      </c>
      <c r="J181" s="39" t="s">
        <v>501</v>
      </c>
      <c r="K181" s="43">
        <v>8</v>
      </c>
      <c r="L181" s="28" t="s">
        <v>38</v>
      </c>
      <c r="M181" s="41">
        <f t="shared" si="8"/>
        <v>90</v>
      </c>
      <c r="N181" s="42">
        <v>720</v>
      </c>
      <c r="O181" s="43"/>
      <c r="P181" s="59">
        <v>720</v>
      </c>
      <c r="Q181" s="59"/>
      <c r="R181" s="59"/>
      <c r="S181" s="59"/>
      <c r="T181" s="59"/>
      <c r="U181" s="59">
        <f>RawDataGenPO[[#This Row],[Total price]]-RawDataGenPO[[#This Row],[Column1]]-RawDataGenPO[[#This Row],[Column14]]-RawDataGenPO[[#This Row],[Column13]]-RawDataGenPO[[#This Row],[Column12]]</f>
        <v>0</v>
      </c>
      <c r="V181" s="33" t="s">
        <v>399</v>
      </c>
      <c r="W181" s="44" t="s">
        <v>8</v>
      </c>
      <c r="X181" s="28" t="s">
        <v>565</v>
      </c>
      <c r="Y181" s="35">
        <v>46070</v>
      </c>
      <c r="Z181" s="45"/>
      <c r="AA181" s="46">
        <f>IF(RawDataGenPO[[#This Row],[Date Gen PO]]="","",RawDataGenPO[[#This Row],[Date recive bill]]-RawDataGenPO[[#This Row],[Date Gen PO]])</f>
        <v>11</v>
      </c>
      <c r="AB181" s="47" t="str">
        <f>IF(RawDataGenPO[[#This Row],[GRN-PO date]]&gt;RawDataGenPO[[#This Row],[Lead time delivery (day)]],"over deliverry","Ontime")</f>
        <v>Ontime</v>
      </c>
      <c r="AC181" s="56" t="s">
        <v>444</v>
      </c>
      <c r="AD181" s="48"/>
    </row>
    <row r="182" spans="1:30" ht="28.5" x14ac:dyDescent="0.3">
      <c r="A182" s="28">
        <f>ROW()-ROW(RawDataGenPO[[#Headers],[No.]])</f>
        <v>181</v>
      </c>
      <c r="B182" s="33" t="s">
        <v>16</v>
      </c>
      <c r="C182" s="30">
        <v>46057</v>
      </c>
      <c r="D182" s="28" t="s">
        <v>503</v>
      </c>
      <c r="E182" s="28" t="s">
        <v>540</v>
      </c>
      <c r="F182" s="37">
        <v>46064</v>
      </c>
      <c r="G182" s="38">
        <v>120</v>
      </c>
      <c r="H182" s="28" t="s">
        <v>37</v>
      </c>
      <c r="I182" s="28">
        <v>1</v>
      </c>
      <c r="J182" s="39" t="s">
        <v>505</v>
      </c>
      <c r="K182" s="43">
        <v>4</v>
      </c>
      <c r="L182" s="28" t="s">
        <v>38</v>
      </c>
      <c r="M182" s="41">
        <f t="shared" si="8"/>
        <v>2730</v>
      </c>
      <c r="N182" s="42">
        <v>10920</v>
      </c>
      <c r="O182" s="43"/>
      <c r="P182" s="59">
        <v>10920</v>
      </c>
      <c r="Q182" s="59"/>
      <c r="R182" s="59"/>
      <c r="S182" s="59"/>
      <c r="T182" s="59"/>
      <c r="U182" s="59">
        <f>RawDataGenPO[[#This Row],[Total price]]-RawDataGenPO[[#This Row],[Column1]]-RawDataGenPO[[#This Row],[Column14]]-RawDataGenPO[[#This Row],[Column13]]-RawDataGenPO[[#This Row],[Column12]]</f>
        <v>0</v>
      </c>
      <c r="V182" s="33" t="s">
        <v>504</v>
      </c>
      <c r="W182" s="44" t="s">
        <v>8</v>
      </c>
      <c r="X182" s="28" t="s">
        <v>638</v>
      </c>
      <c r="Y182" s="35">
        <v>46156</v>
      </c>
      <c r="Z182" s="45"/>
      <c r="AA182" s="46">
        <f>IF(RawDataGenPO[[#This Row],[Date Gen PO]]="","",RawDataGenPO[[#This Row],[Date recive bill]]-RawDataGenPO[[#This Row],[Date Gen PO]])</f>
        <v>92</v>
      </c>
      <c r="AB182" s="47" t="str">
        <f>IF(RawDataGenPO[[#This Row],[GRN-PO date]]&gt;RawDataGenPO[[#This Row],[Lead time delivery (day)]],"over deliverry","Ontime")</f>
        <v>Ontime</v>
      </c>
      <c r="AC182" s="56" t="s">
        <v>444</v>
      </c>
      <c r="AD182" s="48"/>
    </row>
    <row r="183" spans="1:30" ht="28.5" x14ac:dyDescent="0.3">
      <c r="A183" s="28">
        <f>ROW()-ROW(RawDataGenPO[[#Headers],[No.]])</f>
        <v>182</v>
      </c>
      <c r="B183" s="33" t="s">
        <v>16</v>
      </c>
      <c r="C183" s="30">
        <v>46057</v>
      </c>
      <c r="D183" s="28" t="s">
        <v>503</v>
      </c>
      <c r="E183" s="28" t="s">
        <v>540</v>
      </c>
      <c r="F183" s="37">
        <v>46064</v>
      </c>
      <c r="G183" s="38">
        <v>120</v>
      </c>
      <c r="H183" s="28" t="s">
        <v>37</v>
      </c>
      <c r="I183" s="28">
        <v>2</v>
      </c>
      <c r="J183" s="39" t="s">
        <v>506</v>
      </c>
      <c r="K183" s="43">
        <v>6</v>
      </c>
      <c r="L183" s="28" t="s">
        <v>38</v>
      </c>
      <c r="M183" s="41">
        <f t="shared" si="8"/>
        <v>2860</v>
      </c>
      <c r="N183" s="42">
        <v>17160</v>
      </c>
      <c r="O183" s="43"/>
      <c r="P183" s="59">
        <v>17160</v>
      </c>
      <c r="Q183" s="59"/>
      <c r="R183" s="59"/>
      <c r="S183" s="59"/>
      <c r="T183" s="59"/>
      <c r="U183" s="59">
        <f>RawDataGenPO[[#This Row],[Total price]]-RawDataGenPO[[#This Row],[Column1]]-RawDataGenPO[[#This Row],[Column14]]-RawDataGenPO[[#This Row],[Column13]]-RawDataGenPO[[#This Row],[Column12]]</f>
        <v>0</v>
      </c>
      <c r="V183" s="33" t="s">
        <v>504</v>
      </c>
      <c r="W183" s="44" t="s">
        <v>8</v>
      </c>
      <c r="X183" s="28" t="s">
        <v>638</v>
      </c>
      <c r="Y183" s="35">
        <v>46156</v>
      </c>
      <c r="Z183" s="45"/>
      <c r="AA183" s="46">
        <f>IF(RawDataGenPO[[#This Row],[Date Gen PO]]="","",RawDataGenPO[[#This Row],[Date recive bill]]-RawDataGenPO[[#This Row],[Date Gen PO]])</f>
        <v>92</v>
      </c>
      <c r="AB183" s="47" t="str">
        <f>IF(RawDataGenPO[[#This Row],[GRN-PO date]]&gt;RawDataGenPO[[#This Row],[Lead time delivery (day)]],"over deliverry","Ontime")</f>
        <v>Ontime</v>
      </c>
      <c r="AC183" s="56" t="s">
        <v>444</v>
      </c>
      <c r="AD183" s="48"/>
    </row>
    <row r="184" spans="1:30" ht="28.5" x14ac:dyDescent="0.3">
      <c r="A184" s="28">
        <f>ROW()-ROW(RawDataGenPO[[#Headers],[No.]])</f>
        <v>183</v>
      </c>
      <c r="B184" s="33" t="s">
        <v>16</v>
      </c>
      <c r="C184" s="30">
        <v>46057</v>
      </c>
      <c r="D184" s="28" t="s">
        <v>503</v>
      </c>
      <c r="E184" s="28" t="s">
        <v>540</v>
      </c>
      <c r="F184" s="37">
        <v>46064</v>
      </c>
      <c r="G184" s="38">
        <v>120</v>
      </c>
      <c r="H184" s="28" t="s">
        <v>37</v>
      </c>
      <c r="I184" s="28">
        <v>3</v>
      </c>
      <c r="J184" s="39" t="s">
        <v>507</v>
      </c>
      <c r="K184" s="43">
        <v>8</v>
      </c>
      <c r="L184" s="28" t="s">
        <v>38</v>
      </c>
      <c r="M184" s="41">
        <f t="shared" si="8"/>
        <v>3000</v>
      </c>
      <c r="N184" s="42">
        <v>24000</v>
      </c>
      <c r="O184" s="43"/>
      <c r="P184" s="59">
        <v>24000</v>
      </c>
      <c r="Q184" s="59"/>
      <c r="R184" s="59"/>
      <c r="S184" s="59"/>
      <c r="T184" s="59"/>
      <c r="U184" s="59">
        <f>RawDataGenPO[[#This Row],[Total price]]-RawDataGenPO[[#This Row],[Column1]]-RawDataGenPO[[#This Row],[Column14]]-RawDataGenPO[[#This Row],[Column13]]-RawDataGenPO[[#This Row],[Column12]]</f>
        <v>0</v>
      </c>
      <c r="V184" s="33" t="s">
        <v>504</v>
      </c>
      <c r="W184" s="44" t="s">
        <v>8</v>
      </c>
      <c r="X184" s="28" t="s">
        <v>638</v>
      </c>
      <c r="Y184" s="35">
        <v>46156</v>
      </c>
      <c r="Z184" s="45"/>
      <c r="AA184" s="46">
        <f>IF(RawDataGenPO[[#This Row],[Date Gen PO]]="","",RawDataGenPO[[#This Row],[Date recive bill]]-RawDataGenPO[[#This Row],[Date Gen PO]])</f>
        <v>92</v>
      </c>
      <c r="AB184" s="47" t="str">
        <f>IF(RawDataGenPO[[#This Row],[GRN-PO date]]&gt;RawDataGenPO[[#This Row],[Lead time delivery (day)]],"over deliverry","Ontime")</f>
        <v>Ontime</v>
      </c>
      <c r="AC184" s="56" t="s">
        <v>444</v>
      </c>
      <c r="AD184" s="48"/>
    </row>
    <row r="185" spans="1:30" ht="14.25" x14ac:dyDescent="0.3">
      <c r="A185" s="28">
        <f>ROW()-ROW(RawDataGenPO[[#Headers],[No.]])</f>
        <v>184</v>
      </c>
      <c r="B185" s="33" t="s">
        <v>16</v>
      </c>
      <c r="C185" s="30">
        <v>46059</v>
      </c>
      <c r="D185" s="28" t="s">
        <v>509</v>
      </c>
      <c r="E185" s="28" t="s">
        <v>541</v>
      </c>
      <c r="F185" s="37">
        <v>46064</v>
      </c>
      <c r="G185" s="38">
        <v>90</v>
      </c>
      <c r="H185" s="28" t="s">
        <v>37</v>
      </c>
      <c r="I185" s="28">
        <v>1</v>
      </c>
      <c r="J185" s="39" t="s">
        <v>510</v>
      </c>
      <c r="K185" s="43">
        <v>10000</v>
      </c>
      <c r="L185" s="28" t="s">
        <v>39</v>
      </c>
      <c r="M185" s="41">
        <f t="shared" si="8"/>
        <v>6.9</v>
      </c>
      <c r="N185" s="61">
        <v>69000</v>
      </c>
      <c r="O185" s="59"/>
      <c r="P185" s="59">
        <v>69000</v>
      </c>
      <c r="Q185" s="59"/>
      <c r="R185" s="59"/>
      <c r="S185" s="59"/>
      <c r="T185" s="59"/>
      <c r="U185" s="59">
        <f>RawDataGenPO[[#This Row],[Total price]]-RawDataGenPO[[#This Row],[Column1]]-RawDataGenPO[[#This Row],[Column14]]-RawDataGenPO[[#This Row],[Column13]]-RawDataGenPO[[#This Row],[Column12]]</f>
        <v>0</v>
      </c>
      <c r="V185" s="33" t="s">
        <v>446</v>
      </c>
      <c r="W185" s="44" t="s">
        <v>8</v>
      </c>
      <c r="X185" s="28" t="s">
        <v>548</v>
      </c>
      <c r="Y185" s="35">
        <v>46065</v>
      </c>
      <c r="Z185" s="45"/>
      <c r="AA185" s="46">
        <f>IF(RawDataGenPO[[#This Row],[Date Gen PO]]="","",RawDataGenPO[[#This Row],[Date recive bill]]-RawDataGenPO[[#This Row],[Date Gen PO]])</f>
        <v>1</v>
      </c>
      <c r="AB185" s="47" t="str">
        <f>IF(RawDataGenPO[[#This Row],[GRN-PO date]]&gt;RawDataGenPO[[#This Row],[Lead time delivery (day)]],"over deliverry","Ontime")</f>
        <v>Ontime</v>
      </c>
      <c r="AC185" s="56" t="s">
        <v>223</v>
      </c>
      <c r="AD185" s="48"/>
    </row>
    <row r="186" spans="1:30" ht="14.25" x14ac:dyDescent="0.3">
      <c r="A186" s="28">
        <f>ROW()-ROW(RawDataGenPO[[#Headers],[No.]])</f>
        <v>185</v>
      </c>
      <c r="B186" s="33" t="s">
        <v>16</v>
      </c>
      <c r="C186" s="30">
        <v>46059</v>
      </c>
      <c r="D186" s="28" t="s">
        <v>509</v>
      </c>
      <c r="E186" s="28" t="s">
        <v>541</v>
      </c>
      <c r="F186" s="37">
        <v>46064</v>
      </c>
      <c r="G186" s="38">
        <v>90</v>
      </c>
      <c r="H186" s="28" t="s">
        <v>37</v>
      </c>
      <c r="I186" s="28">
        <v>2</v>
      </c>
      <c r="J186" s="39" t="s">
        <v>511</v>
      </c>
      <c r="K186" s="43">
        <v>105</v>
      </c>
      <c r="L186" s="28" t="s">
        <v>39</v>
      </c>
      <c r="M186" s="41">
        <f t="shared" si="8"/>
        <v>295</v>
      </c>
      <c r="N186" s="42">
        <v>30975</v>
      </c>
      <c r="O186" s="43"/>
      <c r="P186" s="59">
        <v>29500</v>
      </c>
      <c r="Q186" s="59"/>
      <c r="R186" s="59"/>
      <c r="S186" s="59"/>
      <c r="T186" s="59"/>
      <c r="U186" s="59">
        <f>RawDataGenPO[[#This Row],[Total price]]-RawDataGenPO[[#This Row],[Column1]]-RawDataGenPO[[#This Row],[Column14]]-RawDataGenPO[[#This Row],[Column13]]-RawDataGenPO[[#This Row],[Column12]]</f>
        <v>1475</v>
      </c>
      <c r="V186" s="33" t="s">
        <v>446</v>
      </c>
      <c r="W186" s="44" t="s">
        <v>8</v>
      </c>
      <c r="X186" s="28" t="s">
        <v>568</v>
      </c>
      <c r="Y186" s="35">
        <v>46073</v>
      </c>
      <c r="Z186" s="45"/>
      <c r="AA186" s="46">
        <f>IF(RawDataGenPO[[#This Row],[Date Gen PO]]="","",RawDataGenPO[[#This Row],[Date recive bill]]-RawDataGenPO[[#This Row],[Date Gen PO]])</f>
        <v>9</v>
      </c>
      <c r="AB186" s="47" t="str">
        <f>IF(RawDataGenPO[[#This Row],[GRN-PO date]]&gt;RawDataGenPO[[#This Row],[Lead time delivery (day)]],"over deliverry","Ontime")</f>
        <v>Ontime</v>
      </c>
      <c r="AC186" s="56" t="s">
        <v>223</v>
      </c>
      <c r="AD186" s="48"/>
    </row>
    <row r="187" spans="1:30" ht="14.25" x14ac:dyDescent="0.3">
      <c r="A187" s="28">
        <f>ROW()-ROW(RawDataGenPO[[#Headers],[No.]])</f>
        <v>186</v>
      </c>
      <c r="B187" s="33" t="s">
        <v>16</v>
      </c>
      <c r="C187" s="30">
        <v>46059</v>
      </c>
      <c r="D187" s="28" t="s">
        <v>509</v>
      </c>
      <c r="E187" s="28" t="s">
        <v>541</v>
      </c>
      <c r="F187" s="37">
        <v>46064</v>
      </c>
      <c r="G187" s="38">
        <v>90</v>
      </c>
      <c r="H187" s="28" t="s">
        <v>37</v>
      </c>
      <c r="I187" s="28">
        <v>3</v>
      </c>
      <c r="J187" s="39" t="s">
        <v>512</v>
      </c>
      <c r="K187" s="43">
        <v>105</v>
      </c>
      <c r="L187" s="28" t="s">
        <v>39</v>
      </c>
      <c r="M187" s="41">
        <f t="shared" si="8"/>
        <v>235</v>
      </c>
      <c r="N187" s="42">
        <v>24675</v>
      </c>
      <c r="O187" s="43"/>
      <c r="P187" s="59">
        <v>23500</v>
      </c>
      <c r="Q187" s="59"/>
      <c r="R187" s="59"/>
      <c r="S187" s="59"/>
      <c r="T187" s="59"/>
      <c r="U187" s="59">
        <f>RawDataGenPO[[#This Row],[Total price]]-RawDataGenPO[[#This Row],[Column1]]-RawDataGenPO[[#This Row],[Column14]]-RawDataGenPO[[#This Row],[Column13]]-RawDataGenPO[[#This Row],[Column12]]</f>
        <v>1175</v>
      </c>
      <c r="V187" s="33" t="s">
        <v>446</v>
      </c>
      <c r="W187" s="44" t="s">
        <v>8</v>
      </c>
      <c r="X187" s="28" t="s">
        <v>568</v>
      </c>
      <c r="Y187" s="35">
        <v>46073</v>
      </c>
      <c r="Z187" s="45"/>
      <c r="AA187" s="46">
        <f>IF(RawDataGenPO[[#This Row],[Date Gen PO]]="","",RawDataGenPO[[#This Row],[Date recive bill]]-RawDataGenPO[[#This Row],[Date Gen PO]])</f>
        <v>9</v>
      </c>
      <c r="AB187" s="47" t="str">
        <f>IF(RawDataGenPO[[#This Row],[GRN-PO date]]&gt;RawDataGenPO[[#This Row],[Lead time delivery (day)]],"over deliverry","Ontime")</f>
        <v>Ontime</v>
      </c>
      <c r="AC187" s="56" t="s">
        <v>223</v>
      </c>
      <c r="AD187" s="48"/>
    </row>
    <row r="188" spans="1:30" ht="14.25" x14ac:dyDescent="0.3">
      <c r="A188" s="28">
        <f>ROW()-ROW(RawDataGenPO[[#Headers],[No.]])</f>
        <v>187</v>
      </c>
      <c r="B188" s="33" t="s">
        <v>16</v>
      </c>
      <c r="C188" s="30">
        <v>46059</v>
      </c>
      <c r="D188" s="28" t="s">
        <v>509</v>
      </c>
      <c r="E188" s="28" t="s">
        <v>541</v>
      </c>
      <c r="F188" s="37">
        <v>46064</v>
      </c>
      <c r="G188" s="38">
        <v>90</v>
      </c>
      <c r="H188" s="28" t="s">
        <v>37</v>
      </c>
      <c r="I188" s="28">
        <v>4</v>
      </c>
      <c r="J188" s="39" t="s">
        <v>513</v>
      </c>
      <c r="K188" s="43">
        <v>60</v>
      </c>
      <c r="L188" s="28" t="s">
        <v>39</v>
      </c>
      <c r="M188" s="41">
        <f t="shared" ref="M188:M191" si="9">N188/K188</f>
        <v>195</v>
      </c>
      <c r="N188" s="42">
        <v>11700</v>
      </c>
      <c r="O188" s="43"/>
      <c r="P188" s="59">
        <v>11700</v>
      </c>
      <c r="Q188" s="59"/>
      <c r="R188" s="59"/>
      <c r="S188" s="59"/>
      <c r="T188" s="59"/>
      <c r="U188" s="59">
        <f>RawDataGenPO[[#This Row],[Total price]]-RawDataGenPO[[#This Row],[Column1]]-RawDataGenPO[[#This Row],[Column14]]-RawDataGenPO[[#This Row],[Column13]]-RawDataGenPO[[#This Row],[Column12]]</f>
        <v>0</v>
      </c>
      <c r="V188" s="33" t="s">
        <v>446</v>
      </c>
      <c r="W188" s="44" t="s">
        <v>8</v>
      </c>
      <c r="X188" s="28" t="s">
        <v>580</v>
      </c>
      <c r="Y188" s="35">
        <v>46083</v>
      </c>
      <c r="Z188" s="45"/>
      <c r="AA188" s="46">
        <f>IF(RawDataGenPO[[#This Row],[Date Gen PO]]="","",RawDataGenPO[[#This Row],[Date recive bill]]-RawDataGenPO[[#This Row],[Date Gen PO]])</f>
        <v>19</v>
      </c>
      <c r="AB188" s="47" t="str">
        <f>IF(RawDataGenPO[[#This Row],[GRN-PO date]]&gt;RawDataGenPO[[#This Row],[Lead time delivery (day)]],"over deliverry","Ontime")</f>
        <v>Ontime</v>
      </c>
      <c r="AC188" s="56" t="s">
        <v>223</v>
      </c>
      <c r="AD188" s="48"/>
    </row>
    <row r="189" spans="1:30" ht="14.25" x14ac:dyDescent="0.3">
      <c r="A189" s="28">
        <f>ROW()-ROW(RawDataGenPO[[#Headers],[No.]])</f>
        <v>188</v>
      </c>
      <c r="B189" s="33" t="s">
        <v>16</v>
      </c>
      <c r="C189" s="30">
        <v>46059</v>
      </c>
      <c r="D189" s="28" t="s">
        <v>509</v>
      </c>
      <c r="E189" s="28" t="s">
        <v>541</v>
      </c>
      <c r="F189" s="37">
        <v>46064</v>
      </c>
      <c r="G189" s="38">
        <v>90</v>
      </c>
      <c r="H189" s="28" t="s">
        <v>37</v>
      </c>
      <c r="I189" s="28">
        <v>5</v>
      </c>
      <c r="J189" s="39" t="s">
        <v>514</v>
      </c>
      <c r="K189" s="43">
        <v>10000</v>
      </c>
      <c r="L189" s="28" t="s">
        <v>39</v>
      </c>
      <c r="M189" s="41">
        <f t="shared" si="9"/>
        <v>11.5</v>
      </c>
      <c r="N189" s="42">
        <v>115000</v>
      </c>
      <c r="O189" s="43"/>
      <c r="P189" s="43"/>
      <c r="Q189" s="43"/>
      <c r="R189" s="43"/>
      <c r="S189" s="43"/>
      <c r="T189" s="43"/>
      <c r="U189" s="43">
        <f>RawDataGenPO[[#This Row],[Total price]]-RawDataGenPO[[#This Row],[Column1]]-RawDataGenPO[[#This Row],[Column14]]-RawDataGenPO[[#This Row],[Column13]]-RawDataGenPO[[#This Row],[Column12]]</f>
        <v>115000</v>
      </c>
      <c r="V189" s="33" t="s">
        <v>446</v>
      </c>
      <c r="W189" s="44" t="s">
        <v>9</v>
      </c>
      <c r="Z189" s="45"/>
      <c r="AA189" s="46">
        <f>IF(RawDataGenPO[[#This Row],[Date Gen PO]]="","",RawDataGenPO[[#This Row],[Date recive bill]]-RawDataGenPO[[#This Row],[Date Gen PO]])</f>
        <v>-46064</v>
      </c>
      <c r="AB189" s="47" t="str">
        <f>IF(RawDataGenPO[[#This Row],[GRN-PO date]]&gt;RawDataGenPO[[#This Row],[Lead time delivery (day)]],"over deliverry","Ontime")</f>
        <v>Ontime</v>
      </c>
      <c r="AC189" s="56" t="s">
        <v>223</v>
      </c>
      <c r="AD189" s="48"/>
    </row>
    <row r="190" spans="1:30" ht="57" x14ac:dyDescent="0.3">
      <c r="A190" s="28">
        <f>ROW()-ROW(RawDataGenPO[[#Headers],[No.]])</f>
        <v>189</v>
      </c>
      <c r="B190" s="33" t="s">
        <v>16</v>
      </c>
      <c r="C190" s="30">
        <v>46059</v>
      </c>
      <c r="D190" s="28" t="s">
        <v>515</v>
      </c>
      <c r="E190" s="28" t="s">
        <v>542</v>
      </c>
      <c r="F190" s="37">
        <v>46064</v>
      </c>
      <c r="G190" s="38">
        <v>60</v>
      </c>
      <c r="H190" s="28" t="s">
        <v>37</v>
      </c>
      <c r="I190" s="28">
        <v>1</v>
      </c>
      <c r="J190" s="39" t="s">
        <v>516</v>
      </c>
      <c r="K190" s="43">
        <v>20</v>
      </c>
      <c r="L190" s="28" t="s">
        <v>38</v>
      </c>
      <c r="M190" s="41">
        <f t="shared" si="9"/>
        <v>1309.5</v>
      </c>
      <c r="N190" s="42">
        <v>26190</v>
      </c>
      <c r="O190" s="43"/>
      <c r="P190" s="59">
        <v>26190</v>
      </c>
      <c r="Q190" s="59"/>
      <c r="R190" s="59"/>
      <c r="S190" s="59"/>
      <c r="T190" s="59"/>
      <c r="U190" s="59">
        <f>RawDataGenPO[[#This Row],[Total price]]-RawDataGenPO[[#This Row],[Column1]]-RawDataGenPO[[#This Row],[Column14]]-RawDataGenPO[[#This Row],[Column13]]-RawDataGenPO[[#This Row],[Column12]]</f>
        <v>0</v>
      </c>
      <c r="V190" s="33" t="s">
        <v>543</v>
      </c>
      <c r="W190" s="44" t="s">
        <v>8</v>
      </c>
      <c r="X190" s="28" t="s">
        <v>604</v>
      </c>
      <c r="Y190" s="35">
        <v>46114</v>
      </c>
      <c r="Z190" s="45"/>
      <c r="AA190" s="46">
        <f>IF(RawDataGenPO[[#This Row],[Date Gen PO]]="","",RawDataGenPO[[#This Row],[Date recive bill]]-RawDataGenPO[[#This Row],[Date Gen PO]])</f>
        <v>50</v>
      </c>
      <c r="AB190" s="47" t="str">
        <f>IF(RawDataGenPO[[#This Row],[GRN-PO date]]&gt;RawDataGenPO[[#This Row],[Lead time delivery (day)]],"over deliverry","Ontime")</f>
        <v>Ontime</v>
      </c>
      <c r="AC190" s="56" t="s">
        <v>223</v>
      </c>
      <c r="AD190" s="48"/>
    </row>
    <row r="191" spans="1:30" ht="14.25" x14ac:dyDescent="0.3">
      <c r="A191" s="28">
        <f>ROW()-ROW(RawDataGenPO[[#Headers],[No.]])</f>
        <v>190</v>
      </c>
      <c r="B191" s="33" t="s">
        <v>16</v>
      </c>
      <c r="C191" s="30">
        <v>46059</v>
      </c>
      <c r="D191" s="28" t="s">
        <v>517</v>
      </c>
      <c r="E191" s="28" t="s">
        <v>563</v>
      </c>
      <c r="F191" s="37">
        <v>46069</v>
      </c>
      <c r="G191" s="38">
        <v>60</v>
      </c>
      <c r="H191" s="28" t="s">
        <v>37</v>
      </c>
      <c r="I191" s="28">
        <v>1</v>
      </c>
      <c r="J191" s="39" t="s">
        <v>518</v>
      </c>
      <c r="K191" s="43">
        <v>20</v>
      </c>
      <c r="L191" s="28" t="s">
        <v>38</v>
      </c>
      <c r="M191" s="41">
        <f t="shared" si="9"/>
        <v>2100</v>
      </c>
      <c r="N191" s="42">
        <v>42000</v>
      </c>
      <c r="O191" s="43"/>
      <c r="P191" s="59">
        <v>42000</v>
      </c>
      <c r="Q191" s="59"/>
      <c r="R191" s="59"/>
      <c r="S191" s="59"/>
      <c r="T191" s="59"/>
      <c r="U191" s="59">
        <f>RawDataGenPO[[#This Row],[Total price]]-RawDataGenPO[[#This Row],[Column1]]-RawDataGenPO[[#This Row],[Column14]]-RawDataGenPO[[#This Row],[Column13]]-RawDataGenPO[[#This Row],[Column12]]</f>
        <v>0</v>
      </c>
      <c r="V191" s="33" t="s">
        <v>564</v>
      </c>
      <c r="W191" s="44" t="s">
        <v>8</v>
      </c>
      <c r="X191" s="28" t="s">
        <v>603</v>
      </c>
      <c r="Y191" s="35">
        <v>46114</v>
      </c>
      <c r="Z191" s="45"/>
      <c r="AA191" s="46">
        <f>IF(RawDataGenPO[[#This Row],[Date Gen PO]]="","",RawDataGenPO[[#This Row],[Date recive bill]]-RawDataGenPO[[#This Row],[Date Gen PO]])</f>
        <v>45</v>
      </c>
      <c r="AB191" s="47" t="str">
        <f>IF(RawDataGenPO[[#This Row],[GRN-PO date]]&gt;RawDataGenPO[[#This Row],[Lead time delivery (day)]],"over deliverry","Ontime")</f>
        <v>Ontime</v>
      </c>
      <c r="AC191" s="56" t="s">
        <v>223</v>
      </c>
      <c r="AD191" s="48"/>
    </row>
    <row r="192" spans="1:30" ht="14.25" x14ac:dyDescent="0.3">
      <c r="A192" s="28">
        <f>ROW()-ROW(RawDataGenPO[[#Headers],[No.]])</f>
        <v>191</v>
      </c>
      <c r="B192" s="33" t="s">
        <v>16</v>
      </c>
      <c r="C192" s="30">
        <v>46059</v>
      </c>
      <c r="D192" s="28" t="s">
        <v>519</v>
      </c>
      <c r="E192" s="28" t="s">
        <v>544</v>
      </c>
      <c r="F192" s="37">
        <v>46064</v>
      </c>
      <c r="G192" s="38">
        <v>60</v>
      </c>
      <c r="H192" s="28" t="s">
        <v>40</v>
      </c>
      <c r="I192" s="28">
        <v>1</v>
      </c>
      <c r="J192" s="39" t="s">
        <v>520</v>
      </c>
      <c r="K192" s="43">
        <v>2</v>
      </c>
      <c r="L192" s="28" t="s">
        <v>38</v>
      </c>
      <c r="M192" s="41">
        <f t="shared" ref="M192:M196" si="10">N192/K192</f>
        <v>19500</v>
      </c>
      <c r="N192" s="42">
        <v>39000</v>
      </c>
      <c r="O192" s="43"/>
      <c r="P192" s="59">
        <v>39000</v>
      </c>
      <c r="Q192" s="59"/>
      <c r="R192" s="59"/>
      <c r="S192" s="59"/>
      <c r="T192" s="59"/>
      <c r="U192" s="59">
        <f>RawDataGenPO[[#This Row],[Total price]]-RawDataGenPO[[#This Row],[Column1]]-RawDataGenPO[[#This Row],[Column14]]-RawDataGenPO[[#This Row],[Column13]]-RawDataGenPO[[#This Row],[Column12]]</f>
        <v>0</v>
      </c>
      <c r="V192" s="33" t="s">
        <v>545</v>
      </c>
      <c r="W192" s="44" t="s">
        <v>8</v>
      </c>
      <c r="X192" s="28" t="s">
        <v>587</v>
      </c>
      <c r="Y192" s="35">
        <v>46086</v>
      </c>
      <c r="Z192" s="45"/>
      <c r="AA192" s="46">
        <f>IF(RawDataGenPO[[#This Row],[Date Gen PO]]="","",RawDataGenPO[[#This Row],[Date recive bill]]-RawDataGenPO[[#This Row],[Date Gen PO]])</f>
        <v>22</v>
      </c>
      <c r="AB192" s="47" t="str">
        <f>IF(RawDataGenPO[[#This Row],[GRN-PO date]]&gt;RawDataGenPO[[#This Row],[Lead time delivery (day)]],"over deliverry","Ontime")</f>
        <v>Ontime</v>
      </c>
      <c r="AC192" s="56" t="s">
        <v>444</v>
      </c>
      <c r="AD192" s="48"/>
    </row>
    <row r="193" spans="1:30" ht="14.25" x14ac:dyDescent="0.3">
      <c r="A193" s="28">
        <f>ROW()-ROW(RawDataGenPO[[#Headers],[No.]])</f>
        <v>192</v>
      </c>
      <c r="B193" s="33" t="s">
        <v>14</v>
      </c>
      <c r="C193" s="30">
        <v>46059</v>
      </c>
      <c r="D193" s="28" t="s">
        <v>533</v>
      </c>
      <c r="E193" s="28" t="s">
        <v>546</v>
      </c>
      <c r="F193" s="37">
        <v>46069</v>
      </c>
      <c r="G193" s="38">
        <v>60</v>
      </c>
      <c r="H193" s="28" t="s">
        <v>40</v>
      </c>
      <c r="I193" s="28">
        <v>1</v>
      </c>
      <c r="J193" s="39" t="s">
        <v>534</v>
      </c>
      <c r="K193" s="43">
        <v>1</v>
      </c>
      <c r="L193" s="28" t="s">
        <v>156</v>
      </c>
      <c r="M193" s="41">
        <f t="shared" si="10"/>
        <v>14009.35</v>
      </c>
      <c r="N193" s="42">
        <v>14009.35</v>
      </c>
      <c r="O193" s="43"/>
      <c r="P193" s="59">
        <v>14009.35</v>
      </c>
      <c r="Q193" s="59"/>
      <c r="R193" s="59"/>
      <c r="S193" s="59"/>
      <c r="T193" s="59"/>
      <c r="U193" s="59">
        <f>RawDataGenPO[[#This Row],[Total price]]-RawDataGenPO[[#This Row],[Column1]]-RawDataGenPO[[#This Row],[Column14]]-RawDataGenPO[[#This Row],[Column13]]-RawDataGenPO[[#This Row],[Column12]]</f>
        <v>0</v>
      </c>
      <c r="V193" s="33" t="s">
        <v>547</v>
      </c>
      <c r="W193" s="44" t="s">
        <v>8</v>
      </c>
      <c r="X193" s="28" t="s">
        <v>597</v>
      </c>
      <c r="Y193" s="35">
        <v>46097</v>
      </c>
      <c r="Z193" s="45"/>
      <c r="AA193" s="46">
        <f>IF(RawDataGenPO[[#This Row],[Date Gen PO]]="","",RawDataGenPO[[#This Row],[Date recive bill]]-RawDataGenPO[[#This Row],[Date Gen PO]])</f>
        <v>28</v>
      </c>
      <c r="AB193" s="47" t="str">
        <f>IF(RawDataGenPO[[#This Row],[GRN-PO date]]&gt;RawDataGenPO[[#This Row],[Lead time delivery (day)]],"over deliverry","Ontime")</f>
        <v>Ontime</v>
      </c>
      <c r="AC193" s="56" t="s">
        <v>220</v>
      </c>
      <c r="AD193" s="48"/>
    </row>
    <row r="194" spans="1:30" ht="42.75" x14ac:dyDescent="0.3">
      <c r="A194" s="28">
        <f>ROW()-ROW(RawDataGenPO[[#Headers],[No.]])</f>
        <v>193</v>
      </c>
      <c r="B194" s="33" t="s">
        <v>16</v>
      </c>
      <c r="C194" s="30">
        <v>46065</v>
      </c>
      <c r="D194" s="28" t="s">
        <v>550</v>
      </c>
      <c r="E194" s="28" t="s">
        <v>554</v>
      </c>
      <c r="F194" s="37">
        <v>46069</v>
      </c>
      <c r="G194" s="38">
        <v>30</v>
      </c>
      <c r="H194" s="28" t="s">
        <v>40</v>
      </c>
      <c r="I194" s="28">
        <v>1</v>
      </c>
      <c r="J194" s="39" t="s">
        <v>551</v>
      </c>
      <c r="K194" s="43">
        <v>4</v>
      </c>
      <c r="L194" s="28" t="s">
        <v>552</v>
      </c>
      <c r="M194" s="41">
        <f>N194/K194</f>
        <v>4070</v>
      </c>
      <c r="N194" s="42">
        <v>16280</v>
      </c>
      <c r="O194" s="43"/>
      <c r="P194" s="59">
        <v>16280</v>
      </c>
      <c r="Q194" s="59"/>
      <c r="R194" s="59"/>
      <c r="S194" s="59"/>
      <c r="T194" s="59"/>
      <c r="U194" s="59">
        <f>RawDataGenPO[[#This Row],[Total price]]-RawDataGenPO[[#This Row],[Column1]]-RawDataGenPO[[#This Row],[Column14]]-RawDataGenPO[[#This Row],[Column13]]-RawDataGenPO[[#This Row],[Column12]]</f>
        <v>0</v>
      </c>
      <c r="V194" s="33" t="s">
        <v>332</v>
      </c>
      <c r="W194" s="44" t="s">
        <v>8</v>
      </c>
      <c r="X194" s="28" t="s">
        <v>555</v>
      </c>
      <c r="Y194" s="35">
        <v>46069</v>
      </c>
      <c r="Z194" s="45"/>
      <c r="AA194" s="46">
        <f>IF(RawDataGenPO[[#This Row],[Date Gen PO]]="","",RawDataGenPO[[#This Row],[Date recive bill]]-RawDataGenPO[[#This Row],[Date Gen PO]])</f>
        <v>0</v>
      </c>
      <c r="AB194" s="47" t="str">
        <f>IF(RawDataGenPO[[#This Row],[GRN-PO date]]&gt;RawDataGenPO[[#This Row],[Lead time delivery (day)]],"over deliverry","Ontime")</f>
        <v>Ontime</v>
      </c>
      <c r="AC194" s="56" t="s">
        <v>219</v>
      </c>
      <c r="AD194" s="48"/>
    </row>
    <row r="195" spans="1:30" ht="28.5" x14ac:dyDescent="0.3">
      <c r="A195" s="28">
        <f>ROW()-ROW(RawDataGenPO[[#Headers],[No.]])</f>
        <v>194</v>
      </c>
      <c r="B195" s="33" t="s">
        <v>16</v>
      </c>
      <c r="C195" s="30">
        <v>46067</v>
      </c>
      <c r="D195" s="28" t="s">
        <v>556</v>
      </c>
      <c r="E195" s="28" t="s">
        <v>576</v>
      </c>
      <c r="F195" s="37">
        <v>46076</v>
      </c>
      <c r="G195" s="38">
        <v>30</v>
      </c>
      <c r="H195" s="28" t="s">
        <v>37</v>
      </c>
      <c r="I195" s="28">
        <v>1</v>
      </c>
      <c r="J195" s="39" t="s">
        <v>557</v>
      </c>
      <c r="K195" s="43">
        <v>12</v>
      </c>
      <c r="L195" s="28" t="s">
        <v>38</v>
      </c>
      <c r="M195" s="41">
        <f t="shared" si="10"/>
        <v>133</v>
      </c>
      <c r="N195" s="42">
        <v>1596</v>
      </c>
      <c r="O195" s="43"/>
      <c r="P195" s="59">
        <v>1596</v>
      </c>
      <c r="Q195" s="59"/>
      <c r="R195" s="59"/>
      <c r="S195" s="59"/>
      <c r="T195" s="59"/>
      <c r="U195" s="59">
        <f>RawDataGenPO[[#This Row],[Total price]]-RawDataGenPO[[#This Row],[Column1]]-RawDataGenPO[[#This Row],[Column14]]-RawDataGenPO[[#This Row],[Column13]]-RawDataGenPO[[#This Row],[Column12]]</f>
        <v>0</v>
      </c>
      <c r="V195" s="33" t="s">
        <v>577</v>
      </c>
      <c r="W195" s="44" t="s">
        <v>8</v>
      </c>
      <c r="X195" s="28" t="s">
        <v>579</v>
      </c>
      <c r="Y195" s="35">
        <v>46083</v>
      </c>
      <c r="Z195" s="45"/>
      <c r="AA195" s="46">
        <f>IF(RawDataGenPO[[#This Row],[Date Gen PO]]="","",RawDataGenPO[[#This Row],[Date recive bill]]-RawDataGenPO[[#This Row],[Date Gen PO]])</f>
        <v>7</v>
      </c>
      <c r="AB195" s="47" t="str">
        <f>IF(RawDataGenPO[[#This Row],[GRN-PO date]]&gt;RawDataGenPO[[#This Row],[Lead time delivery (day)]],"over deliverry","Ontime")</f>
        <v>Ontime</v>
      </c>
      <c r="AC195" s="56" t="s">
        <v>444</v>
      </c>
      <c r="AD195" s="48"/>
    </row>
    <row r="196" spans="1:30" ht="14.25" x14ac:dyDescent="0.3">
      <c r="A196" s="28">
        <f>ROW()-ROW(RawDataGenPO[[#Headers],[No.]])</f>
        <v>195</v>
      </c>
      <c r="B196" s="33" t="s">
        <v>16</v>
      </c>
      <c r="C196" s="30">
        <v>46067</v>
      </c>
      <c r="D196" s="28" t="s">
        <v>556</v>
      </c>
      <c r="E196" s="28" t="s">
        <v>574</v>
      </c>
      <c r="F196" s="37">
        <v>46076</v>
      </c>
      <c r="G196" s="38">
        <v>30</v>
      </c>
      <c r="H196" s="28" t="s">
        <v>37</v>
      </c>
      <c r="I196" s="28">
        <v>2</v>
      </c>
      <c r="J196" s="39" t="s">
        <v>558</v>
      </c>
      <c r="K196" s="43">
        <v>12</v>
      </c>
      <c r="L196" s="28" t="s">
        <v>38</v>
      </c>
      <c r="M196" s="41">
        <f t="shared" si="10"/>
        <v>150</v>
      </c>
      <c r="N196" s="42">
        <v>1800</v>
      </c>
      <c r="O196" s="43"/>
      <c r="P196" s="59">
        <v>1800</v>
      </c>
      <c r="Q196" s="59"/>
      <c r="R196" s="59"/>
      <c r="S196" s="59"/>
      <c r="T196" s="59"/>
      <c r="U196" s="59">
        <f>RawDataGenPO[[#This Row],[Total price]]-RawDataGenPO[[#This Row],[Column1]]-RawDataGenPO[[#This Row],[Column14]]-RawDataGenPO[[#This Row],[Column13]]-RawDataGenPO[[#This Row],[Column12]]</f>
        <v>0</v>
      </c>
      <c r="V196" s="33" t="s">
        <v>575</v>
      </c>
      <c r="W196" s="44" t="s">
        <v>8</v>
      </c>
      <c r="X196" s="28" t="s">
        <v>578</v>
      </c>
      <c r="Y196" s="35">
        <v>46083</v>
      </c>
      <c r="Z196" s="45"/>
      <c r="AA196" s="46">
        <f>IF(RawDataGenPO[[#This Row],[Date Gen PO]]="","",RawDataGenPO[[#This Row],[Date recive bill]]-RawDataGenPO[[#This Row],[Date Gen PO]])</f>
        <v>7</v>
      </c>
      <c r="AB196" s="47" t="str">
        <f>IF(RawDataGenPO[[#This Row],[GRN-PO date]]&gt;RawDataGenPO[[#This Row],[Lead time delivery (day)]],"over deliverry","Ontime")</f>
        <v>Ontime</v>
      </c>
      <c r="AC196" s="56" t="s">
        <v>444</v>
      </c>
      <c r="AD196" s="48"/>
    </row>
    <row r="197" spans="1:30" ht="14.25" x14ac:dyDescent="0.3">
      <c r="A197" s="28">
        <f>ROW()-ROW(RawDataGenPO[[#Headers],[No.]])</f>
        <v>196</v>
      </c>
      <c r="B197" s="33" t="s">
        <v>16</v>
      </c>
      <c r="C197" s="30">
        <v>46067</v>
      </c>
      <c r="D197" s="28" t="s">
        <v>559</v>
      </c>
      <c r="E197" s="28" t="s">
        <v>594</v>
      </c>
      <c r="F197" s="37">
        <v>46093</v>
      </c>
      <c r="G197" s="38">
        <v>120</v>
      </c>
      <c r="H197" s="28" t="s">
        <v>240</v>
      </c>
      <c r="I197" s="28">
        <v>1</v>
      </c>
      <c r="J197" s="39" t="s">
        <v>241</v>
      </c>
      <c r="K197" s="43">
        <v>1</v>
      </c>
      <c r="L197" s="28" t="s">
        <v>41</v>
      </c>
      <c r="M197" s="41">
        <f t="shared" ref="M197:M223" si="11">N197/K197</f>
        <v>48000</v>
      </c>
      <c r="N197" s="42">
        <v>48000</v>
      </c>
      <c r="O197" s="43"/>
      <c r="P197" s="59">
        <v>48000</v>
      </c>
      <c r="Q197" s="59"/>
      <c r="R197" s="59"/>
      <c r="S197" s="59"/>
      <c r="T197" s="59"/>
      <c r="U197" s="59">
        <f>RawDataGenPO[[#This Row],[Total price]]-RawDataGenPO[[#This Row],[Column1]]-RawDataGenPO[[#This Row],[Column14]]-RawDataGenPO[[#This Row],[Column13]]-RawDataGenPO[[#This Row],[Column12]]</f>
        <v>0</v>
      </c>
      <c r="V197" s="33" t="s">
        <v>276</v>
      </c>
      <c r="W197" s="44" t="s">
        <v>8</v>
      </c>
      <c r="X197" s="28" t="s">
        <v>600</v>
      </c>
      <c r="Y197" s="35">
        <v>46106</v>
      </c>
      <c r="Z197" s="45"/>
      <c r="AA197" s="46">
        <f>IF(RawDataGenPO[[#This Row],[Date Gen PO]]="","",RawDataGenPO[[#This Row],[Date recive bill]]-RawDataGenPO[[#This Row],[Date Gen PO]])</f>
        <v>13</v>
      </c>
      <c r="AB197" s="47" t="str">
        <f>IF(RawDataGenPO[[#This Row],[GRN-PO date]]&gt;RawDataGenPO[[#This Row],[Lead time delivery (day)]],"over deliverry","Ontime")</f>
        <v>Ontime</v>
      </c>
      <c r="AC197" s="56" t="s">
        <v>444</v>
      </c>
      <c r="AD197" s="48"/>
    </row>
    <row r="198" spans="1:30" ht="14.25" x14ac:dyDescent="0.3">
      <c r="A198" s="28">
        <f>ROW()-ROW(RawDataGenPO[[#Headers],[No.]])</f>
        <v>197</v>
      </c>
      <c r="B198" s="33" t="s">
        <v>16</v>
      </c>
      <c r="C198" s="30">
        <v>46076</v>
      </c>
      <c r="D198" s="28" t="s">
        <v>569</v>
      </c>
      <c r="E198" s="28" t="s">
        <v>570</v>
      </c>
      <c r="F198" s="37">
        <v>46076</v>
      </c>
      <c r="G198" s="38">
        <v>60</v>
      </c>
      <c r="H198" s="28" t="s">
        <v>117</v>
      </c>
      <c r="I198" s="28">
        <v>1</v>
      </c>
      <c r="J198" s="39" t="s">
        <v>118</v>
      </c>
      <c r="K198" s="43">
        <v>10000</v>
      </c>
      <c r="L198" s="28" t="s">
        <v>39</v>
      </c>
      <c r="M198" s="41">
        <f t="shared" si="11"/>
        <v>22.11</v>
      </c>
      <c r="N198" s="42">
        <v>221100</v>
      </c>
      <c r="O198" s="43"/>
      <c r="P198" s="43"/>
      <c r="Q198" s="43"/>
      <c r="R198" s="43"/>
      <c r="S198" s="43"/>
      <c r="T198" s="43"/>
      <c r="U198" s="43">
        <f>RawDataGenPO[[#This Row],[Total price]]-RawDataGenPO[[#This Row],[Column1]]-RawDataGenPO[[#This Row],[Column14]]-RawDataGenPO[[#This Row],[Column13]]-RawDataGenPO[[#This Row],[Column12]]</f>
        <v>221100</v>
      </c>
      <c r="V198" s="33" t="s">
        <v>120</v>
      </c>
      <c r="W198" s="44" t="s">
        <v>9</v>
      </c>
      <c r="Z198" s="45"/>
      <c r="AA198" s="46">
        <f>IF(RawDataGenPO[[#This Row],[Date Gen PO]]="","",RawDataGenPO[[#This Row],[Date recive bill]]-RawDataGenPO[[#This Row],[Date Gen PO]])</f>
        <v>-46076</v>
      </c>
      <c r="AB198" s="47" t="str">
        <f>IF(RawDataGenPO[[#This Row],[GRN-PO date]]&gt;RawDataGenPO[[#This Row],[Lead time delivery (day)]],"over deliverry","Ontime")</f>
        <v>Ontime</v>
      </c>
      <c r="AC198" s="56" t="s">
        <v>223</v>
      </c>
      <c r="AD198" s="48"/>
    </row>
    <row r="199" spans="1:30" ht="71.25" x14ac:dyDescent="0.3">
      <c r="A199" s="28">
        <f>ROW()-ROW(RawDataGenPO[[#Headers],[No.]])</f>
        <v>198</v>
      </c>
      <c r="B199" s="33" t="s">
        <v>16</v>
      </c>
      <c r="C199" s="30">
        <v>46076</v>
      </c>
      <c r="D199" s="28" t="s">
        <v>571</v>
      </c>
      <c r="E199" s="28" t="s">
        <v>595</v>
      </c>
      <c r="F199" s="37">
        <v>46080</v>
      </c>
      <c r="G199" s="38">
        <v>120</v>
      </c>
      <c r="H199" s="28" t="s">
        <v>40</v>
      </c>
      <c r="I199" s="28">
        <v>1</v>
      </c>
      <c r="J199" s="39" t="s">
        <v>572</v>
      </c>
      <c r="K199" s="43">
        <v>2</v>
      </c>
      <c r="L199" s="28" t="s">
        <v>38</v>
      </c>
      <c r="M199" s="41">
        <f t="shared" si="11"/>
        <v>11500</v>
      </c>
      <c r="N199" s="42">
        <v>23000</v>
      </c>
      <c r="O199" s="43"/>
      <c r="P199" s="59">
        <v>23000</v>
      </c>
      <c r="Q199" s="59"/>
      <c r="R199" s="59"/>
      <c r="S199" s="59"/>
      <c r="T199" s="59"/>
      <c r="U199" s="59">
        <f>RawDataGenPO[[#This Row],[Total price]]-RawDataGenPO[[#This Row],[Column1]]-RawDataGenPO[[#This Row],[Column14]]-RawDataGenPO[[#This Row],[Column13]]-RawDataGenPO[[#This Row],[Column12]]</f>
        <v>0</v>
      </c>
      <c r="V199" s="33" t="s">
        <v>211</v>
      </c>
      <c r="W199" s="44" t="s">
        <v>8</v>
      </c>
      <c r="X199" s="28" t="s">
        <v>596</v>
      </c>
      <c r="Y199" s="35">
        <v>46095</v>
      </c>
      <c r="Z199" s="45"/>
      <c r="AA199" s="46">
        <f>IF(RawDataGenPO[[#This Row],[Date Gen PO]]="","",RawDataGenPO[[#This Row],[Date recive bill]]-RawDataGenPO[[#This Row],[Date Gen PO]])</f>
        <v>15</v>
      </c>
      <c r="AB199" s="47" t="str">
        <f>IF(RawDataGenPO[[#This Row],[GRN-PO date]]&gt;RawDataGenPO[[#This Row],[Lead time delivery (day)]],"over deliverry","Ontime")</f>
        <v>Ontime</v>
      </c>
      <c r="AC199" s="56" t="s">
        <v>220</v>
      </c>
      <c r="AD199" s="48"/>
    </row>
    <row r="200" spans="1:30" ht="57" x14ac:dyDescent="0.3">
      <c r="A200" s="28">
        <f>ROW()-ROW(RawDataGenPO[[#Headers],[No.]])</f>
        <v>199</v>
      </c>
      <c r="B200" s="33" t="s">
        <v>16</v>
      </c>
      <c r="C200" s="30">
        <v>46076</v>
      </c>
      <c r="D200" s="28" t="s">
        <v>571</v>
      </c>
      <c r="E200" s="28" t="s">
        <v>595</v>
      </c>
      <c r="F200" s="37">
        <v>46080</v>
      </c>
      <c r="G200" s="38">
        <v>120</v>
      </c>
      <c r="H200" s="28" t="s">
        <v>40</v>
      </c>
      <c r="I200" s="28">
        <v>2</v>
      </c>
      <c r="J200" s="39" t="s">
        <v>573</v>
      </c>
      <c r="K200" s="43">
        <v>2</v>
      </c>
      <c r="L200" s="28" t="s">
        <v>38</v>
      </c>
      <c r="M200" s="41">
        <f t="shared" si="11"/>
        <v>16000</v>
      </c>
      <c r="N200" s="42">
        <v>32000</v>
      </c>
      <c r="O200" s="43"/>
      <c r="P200" s="59">
        <v>32000</v>
      </c>
      <c r="Q200" s="59"/>
      <c r="R200" s="59"/>
      <c r="S200" s="59"/>
      <c r="T200" s="59"/>
      <c r="U200" s="59">
        <f>RawDataGenPO[[#This Row],[Total price]]-RawDataGenPO[[#This Row],[Column1]]-RawDataGenPO[[#This Row],[Column14]]-RawDataGenPO[[#This Row],[Column13]]-RawDataGenPO[[#This Row],[Column12]]</f>
        <v>0</v>
      </c>
      <c r="V200" s="33" t="s">
        <v>211</v>
      </c>
      <c r="W200" s="44" t="s">
        <v>8</v>
      </c>
      <c r="X200" s="28" t="s">
        <v>596</v>
      </c>
      <c r="Y200" s="35">
        <v>46095</v>
      </c>
      <c r="Z200" s="45"/>
      <c r="AA200" s="46">
        <f>IF(RawDataGenPO[[#This Row],[Date Gen PO]]="","",RawDataGenPO[[#This Row],[Date recive bill]]-RawDataGenPO[[#This Row],[Date Gen PO]])</f>
        <v>15</v>
      </c>
      <c r="AB200" s="47" t="str">
        <f>IF(RawDataGenPO[[#This Row],[GRN-PO date]]&gt;RawDataGenPO[[#This Row],[Lead time delivery (day)]],"over deliverry","Ontime")</f>
        <v>Ontime</v>
      </c>
      <c r="AC200" s="56" t="s">
        <v>220</v>
      </c>
      <c r="AD200" s="48"/>
    </row>
    <row r="201" spans="1:30" ht="14.25" x14ac:dyDescent="0.3">
      <c r="A201" s="28">
        <f>ROW()-ROW(RawDataGenPO[[#Headers],[No.]])</f>
        <v>200</v>
      </c>
      <c r="B201" s="33" t="s">
        <v>16</v>
      </c>
      <c r="C201" s="30">
        <v>46080</v>
      </c>
      <c r="D201" s="28" t="s">
        <v>581</v>
      </c>
      <c r="E201" s="28" t="s">
        <v>582</v>
      </c>
      <c r="F201" s="37">
        <v>46083</v>
      </c>
      <c r="G201" s="38">
        <v>30</v>
      </c>
      <c r="H201" s="28" t="s">
        <v>37</v>
      </c>
      <c r="I201" s="28">
        <v>1</v>
      </c>
      <c r="J201" s="39" t="s">
        <v>583</v>
      </c>
      <c r="K201" s="43">
        <v>2</v>
      </c>
      <c r="L201" s="28" t="s">
        <v>425</v>
      </c>
      <c r="M201" s="41">
        <f t="shared" si="11"/>
        <v>65000</v>
      </c>
      <c r="N201" s="42">
        <v>130000</v>
      </c>
      <c r="O201" s="43"/>
      <c r="P201" s="59">
        <v>130000</v>
      </c>
      <c r="Q201" s="59"/>
      <c r="R201" s="59"/>
      <c r="S201" s="59"/>
      <c r="T201" s="59"/>
      <c r="U201" s="59">
        <f>RawDataGenPO[[#This Row],[Total price]]-RawDataGenPO[[#This Row],[Column1]]-RawDataGenPO[[#This Row],[Column14]]-RawDataGenPO[[#This Row],[Column13]]-RawDataGenPO[[#This Row],[Column12]]</f>
        <v>0</v>
      </c>
      <c r="V201" s="33" t="s">
        <v>585</v>
      </c>
      <c r="W201" s="44" t="s">
        <v>8</v>
      </c>
      <c r="X201" s="28" t="s">
        <v>586</v>
      </c>
      <c r="Y201" s="35">
        <v>46083</v>
      </c>
      <c r="Z201" s="45"/>
      <c r="AA201" s="46">
        <f>IF(RawDataGenPO[[#This Row],[Date Gen PO]]="","",RawDataGenPO[[#This Row],[Date recive bill]]-RawDataGenPO[[#This Row],[Date Gen PO]])</f>
        <v>0</v>
      </c>
      <c r="AB201" s="47" t="str">
        <f>IF(RawDataGenPO[[#This Row],[GRN-PO date]]&gt;RawDataGenPO[[#This Row],[Lead time delivery (day)]],"over deliverry","Ontime")</f>
        <v>Ontime</v>
      </c>
      <c r="AC201" s="56" t="s">
        <v>219</v>
      </c>
      <c r="AD201" s="48"/>
    </row>
    <row r="202" spans="1:30" ht="14.25" x14ac:dyDescent="0.3">
      <c r="A202" s="28">
        <f>ROW()-ROW(RawDataGenPO[[#Headers],[No.]])</f>
        <v>201</v>
      </c>
      <c r="B202" s="33" t="s">
        <v>16</v>
      </c>
      <c r="C202" s="30">
        <v>46080</v>
      </c>
      <c r="D202" s="28" t="s">
        <v>581</v>
      </c>
      <c r="E202" s="28" t="s">
        <v>582</v>
      </c>
      <c r="F202" s="37">
        <v>46083</v>
      </c>
      <c r="G202" s="38">
        <v>30</v>
      </c>
      <c r="H202" s="28" t="s">
        <v>37</v>
      </c>
      <c r="I202" s="28">
        <v>2</v>
      </c>
      <c r="J202" s="39" t="s">
        <v>584</v>
      </c>
      <c r="K202" s="43">
        <v>2</v>
      </c>
      <c r="L202" s="28" t="s">
        <v>425</v>
      </c>
      <c r="M202" s="41">
        <f t="shared" si="11"/>
        <v>95000</v>
      </c>
      <c r="N202" s="42">
        <v>190000</v>
      </c>
      <c r="O202" s="43"/>
      <c r="P202" s="59">
        <v>190000</v>
      </c>
      <c r="Q202" s="59"/>
      <c r="R202" s="59"/>
      <c r="S202" s="59"/>
      <c r="T202" s="59"/>
      <c r="U202" s="59">
        <f>RawDataGenPO[[#This Row],[Total price]]-RawDataGenPO[[#This Row],[Column1]]-RawDataGenPO[[#This Row],[Column14]]-RawDataGenPO[[#This Row],[Column13]]-RawDataGenPO[[#This Row],[Column12]]</f>
        <v>0</v>
      </c>
      <c r="V202" s="33" t="s">
        <v>585</v>
      </c>
      <c r="W202" s="44" t="s">
        <v>8</v>
      </c>
      <c r="X202" s="28" t="s">
        <v>586</v>
      </c>
      <c r="Y202" s="35">
        <v>46083</v>
      </c>
      <c r="Z202" s="45"/>
      <c r="AA202" s="46">
        <f>IF(RawDataGenPO[[#This Row],[Date Gen PO]]="","",RawDataGenPO[[#This Row],[Date recive bill]]-RawDataGenPO[[#This Row],[Date Gen PO]])</f>
        <v>0</v>
      </c>
      <c r="AB202" s="47" t="str">
        <f>IF(RawDataGenPO[[#This Row],[GRN-PO date]]&gt;RawDataGenPO[[#This Row],[Lead time delivery (day)]],"over deliverry","Ontime")</f>
        <v>Ontime</v>
      </c>
      <c r="AC202" s="56" t="s">
        <v>219</v>
      </c>
      <c r="AD202" s="48"/>
    </row>
    <row r="203" spans="1:30" ht="14.25" x14ac:dyDescent="0.3">
      <c r="A203" s="28">
        <f>ROW()-ROW(RawDataGenPO[[#Headers],[No.]])</f>
        <v>202</v>
      </c>
      <c r="B203" s="33" t="s">
        <v>16</v>
      </c>
      <c r="C203" s="30">
        <v>46094</v>
      </c>
      <c r="D203" s="28" t="s">
        <v>590</v>
      </c>
      <c r="E203" s="28" t="s">
        <v>601</v>
      </c>
      <c r="F203" s="37">
        <v>46106</v>
      </c>
      <c r="G203" s="38">
        <v>360</v>
      </c>
      <c r="H203" s="28" t="s">
        <v>37</v>
      </c>
      <c r="I203" s="28">
        <v>1</v>
      </c>
      <c r="J203" s="39" t="s">
        <v>591</v>
      </c>
      <c r="K203" s="43">
        <v>30000</v>
      </c>
      <c r="L203" s="28" t="s">
        <v>593</v>
      </c>
      <c r="M203" s="41">
        <f t="shared" si="11"/>
        <v>6.5</v>
      </c>
      <c r="N203" s="42">
        <v>195000</v>
      </c>
      <c r="O203" s="43"/>
      <c r="P203" s="75">
        <v>65000</v>
      </c>
      <c r="Q203" s="75">
        <v>65000</v>
      </c>
      <c r="R203" s="75"/>
      <c r="S203" s="75"/>
      <c r="T203" s="75"/>
      <c r="U203" s="75">
        <f>RawDataGenPO[[#This Row],[Total price]]-RawDataGenPO[[#This Row],[Column1]]-RawDataGenPO[[#This Row],[Column14]]-RawDataGenPO[[#This Row],[Column13]]-RawDataGenPO[[#This Row],[Column12]]</f>
        <v>65000</v>
      </c>
      <c r="V203" s="33" t="s">
        <v>446</v>
      </c>
      <c r="W203" s="44" t="s">
        <v>8</v>
      </c>
      <c r="X203" s="28" t="s">
        <v>639</v>
      </c>
      <c r="Y203" s="35">
        <v>46114</v>
      </c>
      <c r="Z203" s="45"/>
      <c r="AA203" s="46">
        <f>IF(RawDataGenPO[[#This Row],[Date Gen PO]]="","",RawDataGenPO[[#This Row],[Date recive bill]]-RawDataGenPO[[#This Row],[Date Gen PO]])</f>
        <v>8</v>
      </c>
      <c r="AB203" s="47" t="str">
        <f>IF(RawDataGenPO[[#This Row],[GRN-PO date]]&gt;RawDataGenPO[[#This Row],[Lead time delivery (day)]],"over deliverry","Ontime")</f>
        <v>Ontime</v>
      </c>
      <c r="AC203" s="56" t="s">
        <v>223</v>
      </c>
      <c r="AD203" s="48"/>
    </row>
    <row r="204" spans="1:30" ht="14.25" x14ac:dyDescent="0.3">
      <c r="A204" s="28">
        <f>ROW()-ROW(RawDataGenPO[[#Headers],[No.]])</f>
        <v>203</v>
      </c>
      <c r="B204" s="33" t="s">
        <v>16</v>
      </c>
      <c r="C204" s="30">
        <v>46094</v>
      </c>
      <c r="D204" s="28" t="s">
        <v>590</v>
      </c>
      <c r="E204" s="28" t="s">
        <v>601</v>
      </c>
      <c r="F204" s="37">
        <v>46106</v>
      </c>
      <c r="G204" s="38">
        <v>360</v>
      </c>
      <c r="H204" s="28" t="s">
        <v>37</v>
      </c>
      <c r="I204" s="28">
        <v>2</v>
      </c>
      <c r="J204" s="39" t="s">
        <v>511</v>
      </c>
      <c r="K204" s="43">
        <v>300</v>
      </c>
      <c r="L204" s="28" t="s">
        <v>593</v>
      </c>
      <c r="M204" s="41">
        <f t="shared" si="11"/>
        <v>150</v>
      </c>
      <c r="N204" s="42">
        <v>45000</v>
      </c>
      <c r="O204" s="43"/>
      <c r="P204" s="75">
        <v>15000</v>
      </c>
      <c r="Q204" s="75"/>
      <c r="R204" s="75"/>
      <c r="S204" s="75"/>
      <c r="T204" s="75"/>
      <c r="U204" s="75">
        <f>RawDataGenPO[[#This Row],[Total price]]-RawDataGenPO[[#This Row],[Column1]]-RawDataGenPO[[#This Row],[Column14]]-RawDataGenPO[[#This Row],[Column13]]-RawDataGenPO[[#This Row],[Column12]]</f>
        <v>30000</v>
      </c>
      <c r="V204" s="33" t="s">
        <v>446</v>
      </c>
      <c r="W204" s="44" t="s">
        <v>8</v>
      </c>
      <c r="X204" s="28" t="s">
        <v>633</v>
      </c>
      <c r="Y204" s="35">
        <v>46150</v>
      </c>
      <c r="Z204" s="45"/>
      <c r="AA204" s="46">
        <f>IF(RawDataGenPO[[#This Row],[Date Gen PO]]="","",RawDataGenPO[[#This Row],[Date recive bill]]-RawDataGenPO[[#This Row],[Date Gen PO]])</f>
        <v>44</v>
      </c>
      <c r="AB204" s="47" t="str">
        <f>IF(RawDataGenPO[[#This Row],[GRN-PO date]]&gt;RawDataGenPO[[#This Row],[Lead time delivery (day)]],"over deliverry","Ontime")</f>
        <v>Ontime</v>
      </c>
      <c r="AC204" s="56" t="s">
        <v>223</v>
      </c>
      <c r="AD204" s="48"/>
    </row>
    <row r="205" spans="1:30" ht="14.25" x14ac:dyDescent="0.3">
      <c r="A205" s="28">
        <f>ROW()-ROW(RawDataGenPO[[#Headers],[No.]])</f>
        <v>204</v>
      </c>
      <c r="B205" s="33" t="s">
        <v>16</v>
      </c>
      <c r="C205" s="30">
        <v>46094</v>
      </c>
      <c r="D205" s="28" t="s">
        <v>590</v>
      </c>
      <c r="E205" s="28" t="s">
        <v>601</v>
      </c>
      <c r="F205" s="37">
        <v>46106</v>
      </c>
      <c r="G205" s="38">
        <v>360</v>
      </c>
      <c r="H205" s="28" t="s">
        <v>37</v>
      </c>
      <c r="I205" s="28">
        <v>3</v>
      </c>
      <c r="J205" s="39" t="s">
        <v>512</v>
      </c>
      <c r="K205" s="43">
        <v>300</v>
      </c>
      <c r="L205" s="28" t="s">
        <v>593</v>
      </c>
      <c r="M205" s="41">
        <f t="shared" si="11"/>
        <v>150</v>
      </c>
      <c r="N205" s="42">
        <v>45000</v>
      </c>
      <c r="O205" s="43"/>
      <c r="P205" s="75">
        <v>15000</v>
      </c>
      <c r="Q205" s="75"/>
      <c r="R205" s="75"/>
      <c r="S205" s="75"/>
      <c r="T205" s="75"/>
      <c r="U205" s="75">
        <f>RawDataGenPO[[#This Row],[Total price]]-RawDataGenPO[[#This Row],[Column1]]-RawDataGenPO[[#This Row],[Column14]]-RawDataGenPO[[#This Row],[Column13]]-RawDataGenPO[[#This Row],[Column12]]</f>
        <v>30000</v>
      </c>
      <c r="V205" s="33" t="s">
        <v>446</v>
      </c>
      <c r="W205" s="44" t="s">
        <v>8</v>
      </c>
      <c r="X205" s="28" t="s">
        <v>633</v>
      </c>
      <c r="Y205" s="35">
        <v>46150</v>
      </c>
      <c r="Z205" s="45"/>
      <c r="AA205" s="46">
        <f>IF(RawDataGenPO[[#This Row],[Date Gen PO]]="","",RawDataGenPO[[#This Row],[Date recive bill]]-RawDataGenPO[[#This Row],[Date Gen PO]])</f>
        <v>44</v>
      </c>
      <c r="AB205" s="47" t="str">
        <f>IF(RawDataGenPO[[#This Row],[GRN-PO date]]&gt;RawDataGenPO[[#This Row],[Lead time delivery (day)]],"over deliverry","Ontime")</f>
        <v>Ontime</v>
      </c>
      <c r="AC205" s="56" t="s">
        <v>223</v>
      </c>
      <c r="AD205" s="48"/>
    </row>
    <row r="206" spans="1:30" ht="14.25" x14ac:dyDescent="0.3">
      <c r="A206" s="28">
        <f>ROW()-ROW(RawDataGenPO[[#Headers],[No.]])</f>
        <v>205</v>
      </c>
      <c r="B206" s="33" t="s">
        <v>16</v>
      </c>
      <c r="C206" s="30">
        <v>46094</v>
      </c>
      <c r="D206" s="28" t="s">
        <v>590</v>
      </c>
      <c r="E206" s="28" t="s">
        <v>601</v>
      </c>
      <c r="F206" s="37">
        <v>46106</v>
      </c>
      <c r="G206" s="38">
        <v>360</v>
      </c>
      <c r="H206" s="28" t="s">
        <v>37</v>
      </c>
      <c r="I206" s="28">
        <v>4</v>
      </c>
      <c r="J206" s="39" t="s">
        <v>513</v>
      </c>
      <c r="K206" s="43">
        <v>60</v>
      </c>
      <c r="L206" s="28" t="s">
        <v>593</v>
      </c>
      <c r="M206" s="41">
        <f t="shared" si="11"/>
        <v>195</v>
      </c>
      <c r="N206" s="42">
        <v>11700</v>
      </c>
      <c r="O206" s="43"/>
      <c r="P206" s="43"/>
      <c r="Q206" s="43"/>
      <c r="R206" s="43"/>
      <c r="S206" s="43"/>
      <c r="T206" s="43"/>
      <c r="U206" s="43">
        <f>RawDataGenPO[[#This Row],[Total price]]-RawDataGenPO[[#This Row],[Column1]]-RawDataGenPO[[#This Row],[Column14]]-RawDataGenPO[[#This Row],[Column13]]-RawDataGenPO[[#This Row],[Column12]]</f>
        <v>11700</v>
      </c>
      <c r="V206" s="33" t="s">
        <v>446</v>
      </c>
      <c r="W206" s="44" t="s">
        <v>9</v>
      </c>
      <c r="Z206" s="45"/>
      <c r="AA206" s="46">
        <f>IF(RawDataGenPO[[#This Row],[Date Gen PO]]="","",RawDataGenPO[[#This Row],[Date recive bill]]-RawDataGenPO[[#This Row],[Date Gen PO]])</f>
        <v>-46106</v>
      </c>
      <c r="AB206" s="47" t="str">
        <f>IF(RawDataGenPO[[#This Row],[GRN-PO date]]&gt;RawDataGenPO[[#This Row],[Lead time delivery (day)]],"over deliverry","Ontime")</f>
        <v>Ontime</v>
      </c>
      <c r="AC206" s="56" t="s">
        <v>223</v>
      </c>
      <c r="AD206" s="48"/>
    </row>
    <row r="207" spans="1:30" ht="14.25" x14ac:dyDescent="0.3">
      <c r="A207" s="28">
        <f>ROW()-ROW(RawDataGenPO[[#Headers],[No.]])</f>
        <v>206</v>
      </c>
      <c r="B207" s="33" t="s">
        <v>16</v>
      </c>
      <c r="C207" s="30">
        <v>46094</v>
      </c>
      <c r="D207" s="28" t="s">
        <v>590</v>
      </c>
      <c r="E207" s="28" t="s">
        <v>601</v>
      </c>
      <c r="F207" s="37">
        <v>46106</v>
      </c>
      <c r="G207" s="38">
        <v>360</v>
      </c>
      <c r="H207" s="28" t="s">
        <v>37</v>
      </c>
      <c r="I207" s="28">
        <v>5</v>
      </c>
      <c r="J207" s="39" t="s">
        <v>514</v>
      </c>
      <c r="K207" s="43">
        <v>20000</v>
      </c>
      <c r="L207" s="28" t="s">
        <v>593</v>
      </c>
      <c r="M207" s="41">
        <f t="shared" si="11"/>
        <v>11.5</v>
      </c>
      <c r="N207" s="42">
        <v>230000</v>
      </c>
      <c r="O207" s="43"/>
      <c r="P207" s="43"/>
      <c r="Q207" s="43"/>
      <c r="R207" s="43"/>
      <c r="S207" s="43"/>
      <c r="T207" s="43"/>
      <c r="U207" s="43">
        <f>RawDataGenPO[[#This Row],[Total price]]-RawDataGenPO[[#This Row],[Column1]]-RawDataGenPO[[#This Row],[Column14]]-RawDataGenPO[[#This Row],[Column13]]-RawDataGenPO[[#This Row],[Column12]]</f>
        <v>230000</v>
      </c>
      <c r="V207" s="33" t="s">
        <v>446</v>
      </c>
      <c r="W207" s="44" t="s">
        <v>9</v>
      </c>
      <c r="Z207" s="45"/>
      <c r="AA207" s="46">
        <f>IF(RawDataGenPO[[#This Row],[Date Gen PO]]="","",RawDataGenPO[[#This Row],[Date recive bill]]-RawDataGenPO[[#This Row],[Date Gen PO]])</f>
        <v>-46106</v>
      </c>
      <c r="AB207" s="47" t="str">
        <f>IF(RawDataGenPO[[#This Row],[GRN-PO date]]&gt;RawDataGenPO[[#This Row],[Lead time delivery (day)]],"over deliverry","Ontime")</f>
        <v>Ontime</v>
      </c>
      <c r="AC207" s="56" t="s">
        <v>223</v>
      </c>
      <c r="AD207" s="48"/>
    </row>
    <row r="208" spans="1:30" ht="14.25" x14ac:dyDescent="0.3">
      <c r="A208" s="28">
        <f>ROW()-ROW(RawDataGenPO[[#Headers],[No.]])</f>
        <v>207</v>
      </c>
      <c r="B208" s="33" t="s">
        <v>16</v>
      </c>
      <c r="C208" s="30">
        <v>46094</v>
      </c>
      <c r="D208" s="28" t="s">
        <v>590</v>
      </c>
      <c r="E208" s="28" t="s">
        <v>601</v>
      </c>
      <c r="F208" s="37">
        <v>46106</v>
      </c>
      <c r="G208" s="38">
        <v>360</v>
      </c>
      <c r="H208" s="28" t="s">
        <v>37</v>
      </c>
      <c r="I208" s="28">
        <v>6</v>
      </c>
      <c r="J208" s="39" t="s">
        <v>592</v>
      </c>
      <c r="K208" s="43">
        <v>6000</v>
      </c>
      <c r="L208" s="28" t="s">
        <v>593</v>
      </c>
      <c r="M208" s="41">
        <f t="shared" si="11"/>
        <v>8.5</v>
      </c>
      <c r="N208" s="42">
        <v>51000</v>
      </c>
      <c r="O208" s="43"/>
      <c r="P208" s="75">
        <v>2000</v>
      </c>
      <c r="Q208" s="75"/>
      <c r="R208" s="75"/>
      <c r="S208" s="75"/>
      <c r="T208" s="75"/>
      <c r="U208" s="75">
        <f>RawDataGenPO[[#This Row],[Total price]]-RawDataGenPO[[#This Row],[Column1]]-RawDataGenPO[[#This Row],[Column14]]-RawDataGenPO[[#This Row],[Column13]]-RawDataGenPO[[#This Row],[Column12]]</f>
        <v>49000</v>
      </c>
      <c r="V208" s="33" t="s">
        <v>446</v>
      </c>
      <c r="W208" s="44" t="s">
        <v>8</v>
      </c>
      <c r="X208" s="28" t="s">
        <v>602</v>
      </c>
      <c r="Y208" s="35">
        <v>46114</v>
      </c>
      <c r="Z208" s="45"/>
      <c r="AA208" s="46">
        <f>IF(RawDataGenPO[[#This Row],[Date Gen PO]]="","",RawDataGenPO[[#This Row],[Date recive bill]]-RawDataGenPO[[#This Row],[Date Gen PO]])</f>
        <v>8</v>
      </c>
      <c r="AB208" s="47" t="str">
        <f>IF(RawDataGenPO[[#This Row],[GRN-PO date]]&gt;RawDataGenPO[[#This Row],[Lead time delivery (day)]],"over deliverry","Ontime")</f>
        <v>Ontime</v>
      </c>
      <c r="AC208" s="56" t="s">
        <v>223</v>
      </c>
      <c r="AD208" s="48"/>
    </row>
    <row r="209" spans="1:30" ht="14.25" x14ac:dyDescent="0.3">
      <c r="A209" s="28">
        <f>ROW()-ROW(RawDataGenPO[[#Headers],[No.]])</f>
        <v>208</v>
      </c>
      <c r="B209" s="33" t="s">
        <v>16</v>
      </c>
      <c r="C209" s="30">
        <v>46099</v>
      </c>
      <c r="D209" s="28" t="s">
        <v>598</v>
      </c>
      <c r="E209" s="28" t="s">
        <v>605</v>
      </c>
      <c r="F209" s="37">
        <v>46107</v>
      </c>
      <c r="G209" s="38">
        <v>60</v>
      </c>
      <c r="H209" s="28" t="s">
        <v>117</v>
      </c>
      <c r="I209" s="28">
        <v>1</v>
      </c>
      <c r="J209" s="39" t="s">
        <v>118</v>
      </c>
      <c r="K209" s="43">
        <v>5814</v>
      </c>
      <c r="L209" s="28" t="s">
        <v>593</v>
      </c>
      <c r="M209" s="41">
        <f t="shared" si="11"/>
        <v>22.11</v>
      </c>
      <c r="N209" s="42">
        <v>128547.54</v>
      </c>
      <c r="O209" s="43"/>
      <c r="P209" s="74">
        <v>128547.54</v>
      </c>
      <c r="Q209" s="74"/>
      <c r="R209" s="74"/>
      <c r="S209" s="74"/>
      <c r="T209" s="74"/>
      <c r="U209" s="74">
        <f>RawDataGenPO[[#This Row],[Total price]]-RawDataGenPO[[#This Row],[Column1]]-RawDataGenPO[[#This Row],[Column14]]-RawDataGenPO[[#This Row],[Column13]]-RawDataGenPO[[#This Row],[Column12]]</f>
        <v>0</v>
      </c>
      <c r="V209" s="33" t="s">
        <v>120</v>
      </c>
      <c r="W209" s="44" t="s">
        <v>8</v>
      </c>
      <c r="X209" s="28" t="s">
        <v>606</v>
      </c>
      <c r="Y209" s="35">
        <v>46108</v>
      </c>
      <c r="Z209" s="45"/>
      <c r="AA209" s="46">
        <f>IF(RawDataGenPO[[#This Row],[Date Gen PO]]="","",RawDataGenPO[[#This Row],[Date recive bill]]-RawDataGenPO[[#This Row],[Date Gen PO]])</f>
        <v>1</v>
      </c>
      <c r="AB209" s="47" t="str">
        <f>IF(RawDataGenPO[[#This Row],[GRN-PO date]]&gt;RawDataGenPO[[#This Row],[Lead time delivery (day)]],"over deliverry","Ontime")</f>
        <v>Ontime</v>
      </c>
      <c r="AC209" s="56" t="s">
        <v>223</v>
      </c>
      <c r="AD209" s="48"/>
    </row>
    <row r="210" spans="1:30" ht="14.25" x14ac:dyDescent="0.3">
      <c r="A210" s="28">
        <f>ROW()-ROW(RawDataGenPO[[#Headers],[No.]])</f>
        <v>209</v>
      </c>
      <c r="B210" s="33" t="s">
        <v>16</v>
      </c>
      <c r="C210" s="30">
        <v>46099</v>
      </c>
      <c r="D210" s="28" t="s">
        <v>598</v>
      </c>
      <c r="E210" s="28" t="s">
        <v>607</v>
      </c>
      <c r="F210" s="37"/>
      <c r="G210" s="38"/>
      <c r="H210" s="28" t="s">
        <v>117</v>
      </c>
      <c r="I210" s="28">
        <v>2</v>
      </c>
      <c r="J210" s="39" t="s">
        <v>118</v>
      </c>
      <c r="K210" s="43">
        <v>6000</v>
      </c>
      <c r="L210" s="28" t="s">
        <v>593</v>
      </c>
      <c r="M210" s="41">
        <f t="shared" si="11"/>
        <v>0</v>
      </c>
      <c r="O210" s="43"/>
      <c r="P210" s="43"/>
      <c r="Q210" s="43"/>
      <c r="R210" s="43"/>
      <c r="S210" s="43"/>
      <c r="T210" s="43"/>
      <c r="U210" s="43">
        <f>RawDataGenPO[[#This Row],[Total price]]-RawDataGenPO[[#This Row],[Column1]]-RawDataGenPO[[#This Row],[Column14]]-RawDataGenPO[[#This Row],[Column13]]-RawDataGenPO[[#This Row],[Column12]]</f>
        <v>0</v>
      </c>
      <c r="V210" s="33" t="s">
        <v>120</v>
      </c>
      <c r="W210" s="44" t="s">
        <v>9</v>
      </c>
      <c r="Z210" s="45"/>
      <c r="AA210" s="46" t="str">
        <f>IF(RawDataGenPO[[#This Row],[Date Gen PO]]="","",RawDataGenPO[[#This Row],[Date recive bill]]-RawDataGenPO[[#This Row],[Date Gen PO]])</f>
        <v/>
      </c>
      <c r="AB210" s="47" t="str">
        <f>IF(RawDataGenPO[[#This Row],[GRN-PO date]]&gt;RawDataGenPO[[#This Row],[Lead time delivery (day)]],"over deliverry","Ontime")</f>
        <v>Ontime</v>
      </c>
      <c r="AC210" s="56" t="s">
        <v>223</v>
      </c>
      <c r="AD210" s="48"/>
    </row>
    <row r="211" spans="1:30" ht="14.25" x14ac:dyDescent="0.3">
      <c r="A211" s="28">
        <f>ROW()-ROW(RawDataGenPO[[#Headers],[No.]])</f>
        <v>210</v>
      </c>
      <c r="B211" s="33" t="s">
        <v>16</v>
      </c>
      <c r="C211" s="30">
        <v>46105</v>
      </c>
      <c r="D211" s="28" t="s">
        <v>599</v>
      </c>
      <c r="F211" s="37"/>
      <c r="G211" s="38"/>
      <c r="H211" s="28" t="s">
        <v>117</v>
      </c>
      <c r="I211" s="28">
        <v>1</v>
      </c>
      <c r="J211" s="39" t="s">
        <v>118</v>
      </c>
      <c r="K211" s="43">
        <v>6000</v>
      </c>
      <c r="L211" s="28" t="s">
        <v>593</v>
      </c>
      <c r="M211" s="41">
        <f t="shared" si="11"/>
        <v>0</v>
      </c>
      <c r="O211" s="43"/>
      <c r="P211" s="43"/>
      <c r="Q211" s="43"/>
      <c r="R211" s="43"/>
      <c r="S211" s="43"/>
      <c r="T211" s="43"/>
      <c r="U211" s="43">
        <f>RawDataGenPO[[#This Row],[Total price]]-RawDataGenPO[[#This Row],[Column1]]-RawDataGenPO[[#This Row],[Column14]]-RawDataGenPO[[#This Row],[Column13]]-RawDataGenPO[[#This Row],[Column12]]</f>
        <v>0</v>
      </c>
      <c r="V211" s="33" t="s">
        <v>120</v>
      </c>
      <c r="W211" s="44" t="s">
        <v>9</v>
      </c>
      <c r="Z211" s="45"/>
      <c r="AA211" s="46" t="str">
        <f>IF(RawDataGenPO[[#This Row],[Date Gen PO]]="","",RawDataGenPO[[#This Row],[Date recive bill]]-RawDataGenPO[[#This Row],[Date Gen PO]])</f>
        <v/>
      </c>
      <c r="AB211" s="47" t="str">
        <f>IF(RawDataGenPO[[#This Row],[GRN-PO date]]&gt;RawDataGenPO[[#This Row],[Lead time delivery (day)]],"over deliverry","Ontime")</f>
        <v>Ontime</v>
      </c>
      <c r="AC211" s="56" t="s">
        <v>223</v>
      </c>
      <c r="AD211" s="48"/>
    </row>
    <row r="212" spans="1:30" ht="14.25" x14ac:dyDescent="0.3">
      <c r="A212" s="28">
        <f>ROW()-ROW(RawDataGenPO[[#Headers],[No.]])</f>
        <v>211</v>
      </c>
      <c r="B212" s="33" t="s">
        <v>16</v>
      </c>
      <c r="C212" s="30">
        <v>46105</v>
      </c>
      <c r="D212" s="28" t="s">
        <v>599</v>
      </c>
      <c r="F212" s="37"/>
      <c r="G212" s="38"/>
      <c r="H212" s="28" t="s">
        <v>117</v>
      </c>
      <c r="I212" s="28">
        <v>2</v>
      </c>
      <c r="J212" s="39" t="s">
        <v>118</v>
      </c>
      <c r="K212" s="43">
        <v>6000</v>
      </c>
      <c r="L212" s="28" t="s">
        <v>593</v>
      </c>
      <c r="M212" s="41">
        <f t="shared" si="11"/>
        <v>0</v>
      </c>
      <c r="O212" s="43"/>
      <c r="P212" s="43"/>
      <c r="Q212" s="43"/>
      <c r="R212" s="43"/>
      <c r="S212" s="43"/>
      <c r="T212" s="43"/>
      <c r="U212" s="43">
        <f>RawDataGenPO[[#This Row],[Total price]]-RawDataGenPO[[#This Row],[Column1]]-RawDataGenPO[[#This Row],[Column14]]-RawDataGenPO[[#This Row],[Column13]]-RawDataGenPO[[#This Row],[Column12]]</f>
        <v>0</v>
      </c>
      <c r="V212" s="33" t="s">
        <v>120</v>
      </c>
      <c r="W212" s="44" t="s">
        <v>9</v>
      </c>
      <c r="Z212" s="45"/>
      <c r="AA212" s="46" t="str">
        <f>IF(RawDataGenPO[[#This Row],[Date Gen PO]]="","",RawDataGenPO[[#This Row],[Date recive bill]]-RawDataGenPO[[#This Row],[Date Gen PO]])</f>
        <v/>
      </c>
      <c r="AB212" s="47" t="str">
        <f>IF(RawDataGenPO[[#This Row],[GRN-PO date]]&gt;RawDataGenPO[[#This Row],[Lead time delivery (day)]],"over deliverry","Ontime")</f>
        <v>Ontime</v>
      </c>
      <c r="AC212" s="56" t="s">
        <v>223</v>
      </c>
      <c r="AD212" s="48"/>
    </row>
    <row r="213" spans="1:30" ht="14.25" x14ac:dyDescent="0.3">
      <c r="A213" s="28">
        <f>ROW()-ROW(RawDataGenPO[[#Headers],[No.]])</f>
        <v>212</v>
      </c>
      <c r="B213" s="33" t="s">
        <v>16</v>
      </c>
      <c r="C213" s="30">
        <v>46105</v>
      </c>
      <c r="D213" s="28" t="s">
        <v>599</v>
      </c>
      <c r="E213" s="76"/>
      <c r="F213" s="77"/>
      <c r="G213" s="78"/>
      <c r="H213" s="28" t="s">
        <v>117</v>
      </c>
      <c r="I213" s="76">
        <v>3</v>
      </c>
      <c r="J213" s="39" t="s">
        <v>118</v>
      </c>
      <c r="K213" s="43">
        <v>6000</v>
      </c>
      <c r="L213" s="28" t="s">
        <v>593</v>
      </c>
      <c r="M213" s="41">
        <f t="shared" si="11"/>
        <v>0</v>
      </c>
      <c r="N213" s="79"/>
      <c r="O213" s="80"/>
      <c r="P213" s="80"/>
      <c r="Q213" s="80"/>
      <c r="R213" s="80"/>
      <c r="S213" s="80"/>
      <c r="T213" s="80"/>
      <c r="U213" s="43">
        <f>RawDataGenPO[[#This Row],[Total price]]-RawDataGenPO[[#This Row],[Column1]]-RawDataGenPO[[#This Row],[Column14]]-RawDataGenPO[[#This Row],[Column13]]-RawDataGenPO[[#This Row],[Column12]]</f>
        <v>0</v>
      </c>
      <c r="V213" s="33" t="s">
        <v>120</v>
      </c>
      <c r="W213" s="44" t="s">
        <v>9</v>
      </c>
      <c r="X213" s="76"/>
      <c r="Y213" s="45"/>
      <c r="Z213" s="45"/>
      <c r="AA213" s="46" t="str">
        <f>IF(RawDataGenPO[[#This Row],[Date Gen PO]]="","",RawDataGenPO[[#This Row],[Date recive bill]]-RawDataGenPO[[#This Row],[Date Gen PO]])</f>
        <v/>
      </c>
      <c r="AB213" s="47" t="str">
        <f>IF(RawDataGenPO[[#This Row],[GRN-PO date]]&gt;RawDataGenPO[[#This Row],[Lead time delivery (day)]],"over deliverry","Ontime")</f>
        <v>Ontime</v>
      </c>
      <c r="AC213" s="56" t="s">
        <v>223</v>
      </c>
      <c r="AD213" s="81"/>
    </row>
    <row r="214" spans="1:30" ht="14.25" x14ac:dyDescent="0.3">
      <c r="A214" s="28">
        <f>ROW()-ROW(RawDataGenPO[[#Headers],[No.]])</f>
        <v>213</v>
      </c>
      <c r="B214" s="33" t="s">
        <v>16</v>
      </c>
      <c r="C214" s="30">
        <v>46105</v>
      </c>
      <c r="D214" s="28" t="s">
        <v>599</v>
      </c>
      <c r="F214" s="37"/>
      <c r="G214" s="38"/>
      <c r="H214" s="28" t="s">
        <v>117</v>
      </c>
      <c r="I214" s="28">
        <v>4</v>
      </c>
      <c r="J214" s="39" t="s">
        <v>118</v>
      </c>
      <c r="K214" s="43">
        <v>6000</v>
      </c>
      <c r="L214" s="28" t="s">
        <v>593</v>
      </c>
      <c r="M214" s="41">
        <f t="shared" si="11"/>
        <v>0</v>
      </c>
      <c r="O214" s="43"/>
      <c r="P214" s="43">
        <f>RawDataGenPO[[#This Row],[Total price]]*40/100</f>
        <v>0</v>
      </c>
      <c r="Q214" s="43"/>
      <c r="R214" s="43"/>
      <c r="S214" s="43"/>
      <c r="T214" s="43"/>
      <c r="U214" s="43">
        <f>RawDataGenPO[[#This Row],[Total price]]-RawDataGenPO[[#This Row],[Column1]]-RawDataGenPO[[#This Row],[Column14]]-RawDataGenPO[[#This Row],[Column13]]-RawDataGenPO[[#This Row],[Column12]]</f>
        <v>0</v>
      </c>
      <c r="V214" s="33" t="s">
        <v>120</v>
      </c>
      <c r="W214" s="44" t="s">
        <v>9</v>
      </c>
      <c r="Z214" s="45"/>
      <c r="AA214" s="46" t="str">
        <f>IF(RawDataGenPO[[#This Row],[Date Gen PO]]="","",RawDataGenPO[[#This Row],[Date recive bill]]-RawDataGenPO[[#This Row],[Date Gen PO]])</f>
        <v/>
      </c>
      <c r="AB214" s="47" t="str">
        <f>IF(RawDataGenPO[[#This Row],[GRN-PO date]]&gt;RawDataGenPO[[#This Row],[Lead time delivery (day)]],"over deliverry","Ontime")</f>
        <v>Ontime</v>
      </c>
      <c r="AC214" s="56" t="s">
        <v>223</v>
      </c>
      <c r="AD214" s="48"/>
    </row>
    <row r="215" spans="1:30" ht="28.5" x14ac:dyDescent="0.3">
      <c r="A215" s="28">
        <f>ROW()-ROW(RawDataGenPO[[#Headers],[No.]])</f>
        <v>214</v>
      </c>
      <c r="B215" s="33" t="s">
        <v>16</v>
      </c>
      <c r="C215" s="30">
        <v>46105</v>
      </c>
      <c r="D215" s="28" t="s">
        <v>609</v>
      </c>
      <c r="E215" s="28" t="s">
        <v>610</v>
      </c>
      <c r="F215" s="37">
        <v>46111</v>
      </c>
      <c r="G215" s="38">
        <v>30</v>
      </c>
      <c r="H215" s="28" t="s">
        <v>37</v>
      </c>
      <c r="I215" s="28">
        <v>1</v>
      </c>
      <c r="J215" s="39" t="s">
        <v>611</v>
      </c>
      <c r="K215" s="40">
        <v>30</v>
      </c>
      <c r="L215" s="28" t="s">
        <v>38</v>
      </c>
      <c r="M215" s="41">
        <f t="shared" si="11"/>
        <v>370</v>
      </c>
      <c r="N215" s="42">
        <v>11100</v>
      </c>
      <c r="O215" s="43"/>
      <c r="P215" s="59">
        <v>11100</v>
      </c>
      <c r="Q215" s="59"/>
      <c r="R215" s="59"/>
      <c r="S215" s="59"/>
      <c r="T215" s="59"/>
      <c r="U215" s="59">
        <f>RawDataGenPO[[#This Row],[Total price]]-RawDataGenPO[[#This Row],[Column1]]-RawDataGenPO[[#This Row],[Column14]]-RawDataGenPO[[#This Row],[Column13]]-RawDataGenPO[[#This Row],[Column12]]</f>
        <v>0</v>
      </c>
      <c r="V215" s="33" t="s">
        <v>532</v>
      </c>
      <c r="W215" s="44" t="s">
        <v>8</v>
      </c>
      <c r="X215" s="28" t="s">
        <v>612</v>
      </c>
      <c r="Y215" s="35">
        <v>46121</v>
      </c>
      <c r="Z215" s="45"/>
      <c r="AA215" s="46">
        <f>IF(RawDataGenPO[[#This Row],[Date Gen PO]]="","",RawDataGenPO[[#This Row],[Date recive bill]]-RawDataGenPO[[#This Row],[Date Gen PO]])</f>
        <v>10</v>
      </c>
      <c r="AB215" s="47" t="str">
        <f>IF(RawDataGenPO[[#This Row],[GRN-PO date]]&gt;RawDataGenPO[[#This Row],[Lead time delivery (day)]],"over deliverry","Ontime")</f>
        <v>Ontime</v>
      </c>
      <c r="AC215" s="56" t="s">
        <v>223</v>
      </c>
      <c r="AD215" s="48"/>
    </row>
    <row r="216" spans="1:30" ht="14.25" x14ac:dyDescent="0.3">
      <c r="A216" s="28">
        <f>ROW()-ROW(RawDataGenPO[[#Headers],[No.]])</f>
        <v>215</v>
      </c>
      <c r="B216" s="33" t="s">
        <v>16</v>
      </c>
      <c r="C216" s="30">
        <v>46119</v>
      </c>
      <c r="D216" s="28" t="s">
        <v>613</v>
      </c>
      <c r="E216" s="28" t="s">
        <v>614</v>
      </c>
      <c r="F216" s="37">
        <v>46121</v>
      </c>
      <c r="G216" s="38">
        <v>120</v>
      </c>
      <c r="H216" s="28" t="s">
        <v>248</v>
      </c>
      <c r="I216" s="28">
        <v>1</v>
      </c>
      <c r="J216" s="39" t="s">
        <v>615</v>
      </c>
      <c r="K216" s="40">
        <v>1</v>
      </c>
      <c r="L216" s="28" t="s">
        <v>616</v>
      </c>
      <c r="M216" s="41">
        <f t="shared" si="11"/>
        <v>13500</v>
      </c>
      <c r="N216" s="42">
        <v>13500</v>
      </c>
      <c r="O216" s="43"/>
      <c r="P216" s="59">
        <v>13500</v>
      </c>
      <c r="Q216" s="59"/>
      <c r="R216" s="59"/>
      <c r="S216" s="59"/>
      <c r="T216" s="59"/>
      <c r="U216" s="59">
        <f>RawDataGenPO[[#This Row],[Total price]]-RawDataGenPO[[#This Row],[Column1]]-RawDataGenPO[[#This Row],[Column14]]-RawDataGenPO[[#This Row],[Column13]]-RawDataGenPO[[#This Row],[Column12]]</f>
        <v>0</v>
      </c>
      <c r="V216" s="33" t="s">
        <v>383</v>
      </c>
      <c r="W216" s="44" t="s">
        <v>8</v>
      </c>
      <c r="X216" s="28" t="s">
        <v>637</v>
      </c>
      <c r="Y216" s="35">
        <v>46156</v>
      </c>
      <c r="Z216" s="45"/>
      <c r="AA216" s="46">
        <f>IF(RawDataGenPO[[#This Row],[Date Gen PO]]="","",RawDataGenPO[[#This Row],[Date recive bill]]-RawDataGenPO[[#This Row],[Date Gen PO]])</f>
        <v>35</v>
      </c>
      <c r="AB216" s="47" t="str">
        <f>IF(RawDataGenPO[[#This Row],[GRN-PO date]]&gt;RawDataGenPO[[#This Row],[Lead time delivery (day)]],"over deliverry","Ontime")</f>
        <v>Ontime</v>
      </c>
      <c r="AC216" s="56" t="s">
        <v>223</v>
      </c>
      <c r="AD216" s="48"/>
    </row>
    <row r="217" spans="1:30" ht="42.75" x14ac:dyDescent="0.3">
      <c r="A217" s="76">
        <f>ROW()-ROW(RawDataGenPO[[#Headers],[No.]])</f>
        <v>216</v>
      </c>
      <c r="B217" s="33" t="s">
        <v>16</v>
      </c>
      <c r="C217" s="30"/>
      <c r="D217" s="28" t="s">
        <v>617</v>
      </c>
      <c r="E217" s="28" t="s">
        <v>625</v>
      </c>
      <c r="F217" s="37">
        <v>46135</v>
      </c>
      <c r="G217" s="38">
        <v>300</v>
      </c>
      <c r="H217" s="28" t="s">
        <v>40</v>
      </c>
      <c r="I217" s="28">
        <v>1</v>
      </c>
      <c r="J217" s="39" t="s">
        <v>618</v>
      </c>
      <c r="K217" s="40">
        <v>3</v>
      </c>
      <c r="L217" s="28" t="s">
        <v>156</v>
      </c>
      <c r="M217" s="41">
        <f t="shared" si="11"/>
        <v>35000</v>
      </c>
      <c r="N217" s="42">
        <v>105000</v>
      </c>
      <c r="O217" s="43"/>
      <c r="P217" s="43"/>
      <c r="Q217" s="43"/>
      <c r="R217" s="43"/>
      <c r="S217" s="43"/>
      <c r="T217" s="43"/>
      <c r="U217" s="43">
        <f>RawDataGenPO[[#This Row],[Total price]]-RawDataGenPO[[#This Row],[Column1]]-RawDataGenPO[[#This Row],[Column14]]-RawDataGenPO[[#This Row],[Column13]]-RawDataGenPO[[#This Row],[Column12]]</f>
        <v>105000</v>
      </c>
      <c r="V217" s="33" t="s">
        <v>626</v>
      </c>
      <c r="W217" s="44" t="s">
        <v>8</v>
      </c>
      <c r="X217" s="28" t="s">
        <v>641</v>
      </c>
      <c r="Y217" s="35">
        <v>46162</v>
      </c>
      <c r="Z217" s="45"/>
      <c r="AA217" s="46">
        <f>IF(RawDataGenPO[[#This Row],[Date Gen PO]]="","",RawDataGenPO[[#This Row],[Date recive bill]]-RawDataGenPO[[#This Row],[Date Gen PO]])</f>
        <v>27</v>
      </c>
      <c r="AB217" s="47" t="str">
        <f>IF(RawDataGenPO[[#This Row],[GRN-PO date]]&gt;RawDataGenPO[[#This Row],[Lead time delivery (day)]],"over deliverry","Ontime")</f>
        <v>Ontime</v>
      </c>
      <c r="AC217" s="56" t="s">
        <v>219</v>
      </c>
      <c r="AD217" s="48"/>
    </row>
    <row r="218" spans="1:30" ht="14.25" x14ac:dyDescent="0.3">
      <c r="A218" s="76">
        <f>ROW()-ROW(RawDataGenPO[[#Headers],[No.]])</f>
        <v>217</v>
      </c>
      <c r="B218" s="33" t="s">
        <v>16</v>
      </c>
      <c r="C218" s="30">
        <v>46119</v>
      </c>
      <c r="D218" s="28" t="s">
        <v>617</v>
      </c>
      <c r="E218" s="28" t="s">
        <v>625</v>
      </c>
      <c r="F218" s="37">
        <v>46135</v>
      </c>
      <c r="G218" s="38">
        <v>300</v>
      </c>
      <c r="H218" s="28" t="s">
        <v>40</v>
      </c>
      <c r="I218" s="28">
        <v>2</v>
      </c>
      <c r="J218" s="39" t="s">
        <v>619</v>
      </c>
      <c r="K218" s="40">
        <v>2</v>
      </c>
      <c r="L218" s="28" t="s">
        <v>41</v>
      </c>
      <c r="M218" s="41">
        <f t="shared" si="11"/>
        <v>450</v>
      </c>
      <c r="N218" s="42">
        <v>900</v>
      </c>
      <c r="O218" s="43"/>
      <c r="P218" s="43"/>
      <c r="Q218" s="43"/>
      <c r="R218" s="43"/>
      <c r="S218" s="43"/>
      <c r="T218" s="43"/>
      <c r="U218" s="43">
        <f>RawDataGenPO[[#This Row],[Total price]]-RawDataGenPO[[#This Row],[Column1]]-RawDataGenPO[[#This Row],[Column14]]-RawDataGenPO[[#This Row],[Column13]]-RawDataGenPO[[#This Row],[Column12]]</f>
        <v>900</v>
      </c>
      <c r="V218" s="33" t="s">
        <v>626</v>
      </c>
      <c r="W218" s="44" t="s">
        <v>8</v>
      </c>
      <c r="X218" s="28" t="s">
        <v>641</v>
      </c>
      <c r="Y218" s="35">
        <v>46162</v>
      </c>
      <c r="Z218" s="45"/>
      <c r="AA218" s="46">
        <f>IF(RawDataGenPO[[#This Row],[Date Gen PO]]="","",RawDataGenPO[[#This Row],[Date recive bill]]-RawDataGenPO[[#This Row],[Date Gen PO]])</f>
        <v>27</v>
      </c>
      <c r="AB218" s="47" t="str">
        <f>IF(RawDataGenPO[[#This Row],[GRN-PO date]]&gt;RawDataGenPO[[#This Row],[Lead time delivery (day)]],"over deliverry","Ontime")</f>
        <v>Ontime</v>
      </c>
      <c r="AC218" s="56" t="s">
        <v>219</v>
      </c>
      <c r="AD218" s="48"/>
    </row>
    <row r="219" spans="1:30" ht="14.25" x14ac:dyDescent="0.3">
      <c r="A219" s="76">
        <f>ROW()-ROW(RawDataGenPO[[#Headers],[No.]])</f>
        <v>218</v>
      </c>
      <c r="B219" s="33" t="s">
        <v>16</v>
      </c>
      <c r="C219" s="30">
        <v>46119</v>
      </c>
      <c r="D219" s="28" t="s">
        <v>620</v>
      </c>
      <c r="E219" s="28" t="s">
        <v>627</v>
      </c>
      <c r="F219" s="37"/>
      <c r="G219" s="38"/>
      <c r="H219" s="28" t="s">
        <v>40</v>
      </c>
      <c r="I219" s="28">
        <v>1</v>
      </c>
      <c r="J219" s="39" t="s">
        <v>621</v>
      </c>
      <c r="K219" s="40">
        <v>2</v>
      </c>
      <c r="L219" s="28" t="s">
        <v>156</v>
      </c>
      <c r="M219" s="41">
        <f t="shared" si="11"/>
        <v>366000</v>
      </c>
      <c r="N219" s="42">
        <v>732000</v>
      </c>
      <c r="O219" s="43"/>
      <c r="P219" s="43"/>
      <c r="Q219" s="43"/>
      <c r="R219" s="43"/>
      <c r="S219" s="43"/>
      <c r="T219" s="43"/>
      <c r="U219" s="43">
        <f>RawDataGenPO[[#This Row],[Total price]]-RawDataGenPO[[#This Row],[Column1]]-RawDataGenPO[[#This Row],[Column14]]-RawDataGenPO[[#This Row],[Column13]]-RawDataGenPO[[#This Row],[Column12]]</f>
        <v>732000</v>
      </c>
      <c r="V219" s="33" t="s">
        <v>628</v>
      </c>
      <c r="W219" s="44" t="s">
        <v>9</v>
      </c>
      <c r="Z219" s="45"/>
      <c r="AA219" s="46" t="str">
        <f>IF(RawDataGenPO[[#This Row],[Date Gen PO]]="","",RawDataGenPO[[#This Row],[Date recive bill]]-RawDataGenPO[[#This Row],[Date Gen PO]])</f>
        <v/>
      </c>
      <c r="AB219" s="47" t="str">
        <f>IF(RawDataGenPO[[#This Row],[GRN-PO date]]&gt;RawDataGenPO[[#This Row],[Lead time delivery (day)]],"over deliverry","Ontime")</f>
        <v>Ontime</v>
      </c>
      <c r="AC219" s="56" t="s">
        <v>219</v>
      </c>
      <c r="AD219" s="48"/>
    </row>
    <row r="220" spans="1:30" ht="14.25" x14ac:dyDescent="0.3">
      <c r="A220" s="76">
        <f>ROW()-ROW(RawDataGenPO[[#Headers],[No.]])</f>
        <v>219</v>
      </c>
      <c r="B220" s="33" t="s">
        <v>16</v>
      </c>
      <c r="C220" s="30">
        <v>46136</v>
      </c>
      <c r="D220" s="28" t="s">
        <v>622</v>
      </c>
      <c r="F220" s="37"/>
      <c r="G220" s="38"/>
      <c r="H220" s="28" t="s">
        <v>37</v>
      </c>
      <c r="I220" s="28">
        <v>1</v>
      </c>
      <c r="J220" s="39" t="s">
        <v>623</v>
      </c>
      <c r="K220" s="40">
        <v>1</v>
      </c>
      <c r="L220" s="28" t="s">
        <v>38</v>
      </c>
      <c r="M220" s="41">
        <f t="shared" si="11"/>
        <v>12000</v>
      </c>
      <c r="N220" s="42">
        <v>12000</v>
      </c>
      <c r="O220" s="43"/>
      <c r="P220" s="43"/>
      <c r="Q220" s="43"/>
      <c r="R220" s="43"/>
      <c r="S220" s="43"/>
      <c r="T220" s="43"/>
      <c r="U220" s="43">
        <f>RawDataGenPO[[#This Row],[Total price]]-RawDataGenPO[[#This Row],[Column1]]-RawDataGenPO[[#This Row],[Column14]]-RawDataGenPO[[#This Row],[Column13]]-RawDataGenPO[[#This Row],[Column12]]</f>
        <v>12000</v>
      </c>
      <c r="W220" s="44" t="s">
        <v>9</v>
      </c>
      <c r="Z220" s="45"/>
      <c r="AA220" s="46" t="str">
        <f>IF(RawDataGenPO[[#This Row],[Date Gen PO]]="","",RawDataGenPO[[#This Row],[Date recive bill]]-RawDataGenPO[[#This Row],[Date Gen PO]])</f>
        <v/>
      </c>
      <c r="AB220" s="47" t="str">
        <f>IF(RawDataGenPO[[#This Row],[GRN-PO date]]&gt;RawDataGenPO[[#This Row],[Lead time delivery (day)]],"over deliverry","Ontime")</f>
        <v>Ontime</v>
      </c>
      <c r="AC220" s="56"/>
      <c r="AD220" s="48"/>
    </row>
    <row r="221" spans="1:30" ht="14.25" x14ac:dyDescent="0.3">
      <c r="A221" s="76">
        <f>ROW()-ROW(RawDataGenPO[[#Headers],[No.]])</f>
        <v>220</v>
      </c>
      <c r="B221" s="33" t="s">
        <v>16</v>
      </c>
      <c r="C221" s="30">
        <v>46136</v>
      </c>
      <c r="D221" s="28" t="s">
        <v>622</v>
      </c>
      <c r="F221" s="37"/>
      <c r="G221" s="38"/>
      <c r="H221" s="28" t="s">
        <v>37</v>
      </c>
      <c r="I221" s="28">
        <v>2</v>
      </c>
      <c r="J221" s="39" t="s">
        <v>624</v>
      </c>
      <c r="K221" s="40">
        <v>1</v>
      </c>
      <c r="L221" s="28" t="s">
        <v>38</v>
      </c>
      <c r="M221" s="41">
        <f t="shared" si="11"/>
        <v>2000</v>
      </c>
      <c r="N221" s="42">
        <v>2000</v>
      </c>
      <c r="O221" s="43"/>
      <c r="P221" s="43"/>
      <c r="Q221" s="43"/>
      <c r="R221" s="43"/>
      <c r="S221" s="43"/>
      <c r="T221" s="43"/>
      <c r="U221" s="43">
        <f>RawDataGenPO[[#This Row],[Total price]]-RawDataGenPO[[#This Row],[Column1]]-RawDataGenPO[[#This Row],[Column14]]-RawDataGenPO[[#This Row],[Column13]]-RawDataGenPO[[#This Row],[Column12]]</f>
        <v>2000</v>
      </c>
      <c r="W221" s="44" t="s">
        <v>9</v>
      </c>
      <c r="Z221" s="45"/>
      <c r="AA221" s="46" t="str">
        <f>IF(RawDataGenPO[[#This Row],[Date Gen PO]]="","",RawDataGenPO[[#This Row],[Date recive bill]]-RawDataGenPO[[#This Row],[Date Gen PO]])</f>
        <v/>
      </c>
      <c r="AB221" s="47" t="str">
        <f>IF(RawDataGenPO[[#This Row],[GRN-PO date]]&gt;RawDataGenPO[[#This Row],[Lead time delivery (day)]],"over deliverry","Ontime")</f>
        <v>Ontime</v>
      </c>
      <c r="AC221" s="56"/>
      <c r="AD221" s="48"/>
    </row>
    <row r="222" spans="1:30" ht="14.25" x14ac:dyDescent="0.3">
      <c r="A222" s="76">
        <f>ROW()-ROW(RawDataGenPO[[#Headers],[No.]])</f>
        <v>221</v>
      </c>
      <c r="B222" s="33" t="s">
        <v>16</v>
      </c>
      <c r="C222" s="30">
        <v>46142</v>
      </c>
      <c r="D222" s="28" t="s">
        <v>629</v>
      </c>
      <c r="E222" s="28" t="s">
        <v>630</v>
      </c>
      <c r="F222" s="37">
        <v>46148</v>
      </c>
      <c r="G222" s="38">
        <v>120</v>
      </c>
      <c r="H222" s="28" t="s">
        <v>37</v>
      </c>
      <c r="I222" s="28">
        <v>1</v>
      </c>
      <c r="J222" s="39" t="s">
        <v>631</v>
      </c>
      <c r="K222" s="40">
        <v>500</v>
      </c>
      <c r="L222" s="28" t="s">
        <v>38</v>
      </c>
      <c r="M222" s="41">
        <f t="shared" si="11"/>
        <v>220</v>
      </c>
      <c r="N222" s="42">
        <v>110000</v>
      </c>
      <c r="O222" s="43"/>
      <c r="P222" s="43"/>
      <c r="Q222" s="43"/>
      <c r="R222" s="43"/>
      <c r="S222" s="43"/>
      <c r="T222" s="43"/>
      <c r="U222" s="43">
        <f>RawDataGenPO[[#This Row],[Total price]]-RawDataGenPO[[#This Row],[Column1]]-RawDataGenPO[[#This Row],[Column14]]-RawDataGenPO[[#This Row],[Column13]]-RawDataGenPO[[#This Row],[Column12]]</f>
        <v>110000</v>
      </c>
      <c r="V222" s="33" t="s">
        <v>236</v>
      </c>
      <c r="W222" s="44" t="s">
        <v>9</v>
      </c>
      <c r="Z222" s="45"/>
      <c r="AA222" s="46">
        <f>IF(RawDataGenPO[[#This Row],[Date Gen PO]]="","",RawDataGenPO[[#This Row],[Date recive bill]]-RawDataGenPO[[#This Row],[Date Gen PO]])</f>
        <v>-46148</v>
      </c>
      <c r="AB222" s="47" t="str">
        <f>IF(RawDataGenPO[[#This Row],[GRN-PO date]]&gt;RawDataGenPO[[#This Row],[Lead time delivery (day)]],"over deliverry","Ontime")</f>
        <v>Ontime</v>
      </c>
      <c r="AC222" s="56"/>
      <c r="AD222" s="48"/>
    </row>
    <row r="223" spans="1:30" ht="14.25" x14ac:dyDescent="0.3">
      <c r="A223" s="76">
        <f>ROW()-ROW(RawDataGenPO[[#Headers],[No.]])</f>
        <v>222</v>
      </c>
      <c r="B223" s="33" t="s">
        <v>16</v>
      </c>
      <c r="C223" s="30">
        <v>46142</v>
      </c>
      <c r="D223" s="28" t="s">
        <v>629</v>
      </c>
      <c r="E223" s="28" t="s">
        <v>630</v>
      </c>
      <c r="F223" s="37">
        <v>46148</v>
      </c>
      <c r="G223" s="38">
        <v>120</v>
      </c>
      <c r="H223" s="28" t="s">
        <v>37</v>
      </c>
      <c r="I223" s="28">
        <v>2</v>
      </c>
      <c r="J223" s="39" t="s">
        <v>632</v>
      </c>
      <c r="K223" s="40">
        <v>100</v>
      </c>
      <c r="L223" s="28" t="s">
        <v>38</v>
      </c>
      <c r="M223" s="41">
        <f t="shared" si="11"/>
        <v>220</v>
      </c>
      <c r="N223" s="42">
        <v>22000</v>
      </c>
      <c r="O223" s="43"/>
      <c r="P223" s="43"/>
      <c r="Q223" s="43"/>
      <c r="R223" s="43"/>
      <c r="S223" s="43"/>
      <c r="T223" s="43"/>
      <c r="U223" s="43">
        <f>RawDataGenPO[[#This Row],[Total price]]-RawDataGenPO[[#This Row],[Column1]]-RawDataGenPO[[#This Row],[Column14]]-RawDataGenPO[[#This Row],[Column13]]-RawDataGenPO[[#This Row],[Column12]]</f>
        <v>22000</v>
      </c>
      <c r="V223" s="33" t="s">
        <v>236</v>
      </c>
      <c r="W223" s="44" t="s">
        <v>9</v>
      </c>
      <c r="Z223" s="45"/>
      <c r="AA223" s="46">
        <f>IF(RawDataGenPO[[#This Row],[Date Gen PO]]="","",RawDataGenPO[[#This Row],[Date recive bill]]-RawDataGenPO[[#This Row],[Date Gen PO]])</f>
        <v>-46148</v>
      </c>
      <c r="AB223" s="47" t="str">
        <f>IF(RawDataGenPO[[#This Row],[GRN-PO date]]&gt;RawDataGenPO[[#This Row],[Lead time delivery (day)]],"over deliverry","Ontime")</f>
        <v>Ontime</v>
      </c>
      <c r="AC223" s="56"/>
      <c r="AD223" s="48"/>
    </row>
    <row r="224" spans="1:30" ht="28.5" x14ac:dyDescent="0.3">
      <c r="A224" s="76">
        <f>ROW()-ROW(RawDataGenPO[[#Headers],[No.]])</f>
        <v>223</v>
      </c>
      <c r="B224" s="33" t="s">
        <v>16</v>
      </c>
      <c r="C224" s="30">
        <v>46149</v>
      </c>
      <c r="D224" s="28" t="s">
        <v>634</v>
      </c>
      <c r="E224" s="28" t="s">
        <v>636</v>
      </c>
      <c r="F224" s="37"/>
      <c r="G224" s="38"/>
      <c r="H224" s="28" t="s">
        <v>154</v>
      </c>
      <c r="I224" s="28">
        <v>1</v>
      </c>
      <c r="J224" s="39" t="s">
        <v>635</v>
      </c>
      <c r="K224" s="40">
        <v>1</v>
      </c>
      <c r="L224" s="28" t="s">
        <v>616</v>
      </c>
      <c r="M224" s="41">
        <f t="shared" ref="M224" si="12">N224/K224</f>
        <v>13500</v>
      </c>
      <c r="N224" s="42">
        <v>13500</v>
      </c>
      <c r="O224" s="43"/>
      <c r="P224" s="43"/>
      <c r="Q224" s="43"/>
      <c r="R224" s="43"/>
      <c r="S224" s="43"/>
      <c r="T224" s="43"/>
      <c r="U224" s="43">
        <f>RawDataGenPO[[#This Row],[Total price]]-RawDataGenPO[[#This Row],[Column1]]-RawDataGenPO[[#This Row],[Column14]]-RawDataGenPO[[#This Row],[Column13]]-RawDataGenPO[[#This Row],[Column12]]</f>
        <v>13500</v>
      </c>
      <c r="V224" s="33" t="s">
        <v>383</v>
      </c>
      <c r="W224" s="44" t="s">
        <v>9</v>
      </c>
      <c r="Z224" s="45"/>
      <c r="AA224" s="46" t="str">
        <f>IF(RawDataGenPO[[#This Row],[Date Gen PO]]="","",RawDataGenPO[[#This Row],[Date recive bill]]-RawDataGenPO[[#This Row],[Date Gen PO]])</f>
        <v/>
      </c>
      <c r="AB224" s="47" t="str">
        <f>IF(RawDataGenPO[[#This Row],[GRN-PO date]]&gt;RawDataGenPO[[#This Row],[Lead time delivery (day)]],"over deliverry","Ontime")</f>
        <v>Ontime</v>
      </c>
      <c r="AC224" s="56"/>
      <c r="AD224" s="48"/>
    </row>
    <row r="225" spans="1:30" ht="14.25" x14ac:dyDescent="0.3">
      <c r="A225" s="76"/>
      <c r="B225" s="82"/>
      <c r="C225" s="83"/>
      <c r="D225" s="76"/>
      <c r="E225" s="76"/>
      <c r="F225" s="77"/>
      <c r="G225" s="78"/>
      <c r="H225" s="76"/>
      <c r="I225" s="76"/>
      <c r="J225" s="84"/>
      <c r="K225" s="89"/>
      <c r="L225" s="76"/>
      <c r="M225" s="85"/>
      <c r="N225" s="90"/>
      <c r="O225" s="85"/>
      <c r="P225" s="85"/>
      <c r="Q225" s="85"/>
      <c r="R225" s="85"/>
      <c r="S225" s="85"/>
      <c r="T225" s="85"/>
      <c r="U225" s="85"/>
      <c r="V225" s="82"/>
      <c r="W225" s="76"/>
      <c r="X225" s="76"/>
      <c r="Y225" s="45"/>
      <c r="Z225" s="45"/>
      <c r="AA225" s="86"/>
      <c r="AB225" s="87"/>
      <c r="AC225" s="88"/>
      <c r="AD225" s="81"/>
    </row>
    <row r="226" spans="1:30" x14ac:dyDescent="0.3">
      <c r="C226" s="30"/>
      <c r="F226" s="37"/>
      <c r="G226" s="38"/>
      <c r="M226" s="41"/>
      <c r="AA226" s="46"/>
      <c r="AB226" s="47"/>
      <c r="AC226" s="47"/>
      <c r="AD226" s="51"/>
    </row>
    <row r="227" spans="1:30" x14ac:dyDescent="0.3">
      <c r="C227" s="30"/>
      <c r="F227" s="37"/>
      <c r="G227" s="38"/>
      <c r="M227" s="41"/>
      <c r="AA227" s="46"/>
      <c r="AB227" s="47"/>
      <c r="AC227" s="47"/>
      <c r="AD227" s="51"/>
    </row>
    <row r="228" spans="1:30" x14ac:dyDescent="0.3">
      <c r="C228" s="30"/>
      <c r="F228" s="37"/>
      <c r="G228" s="38"/>
      <c r="M228" s="41"/>
      <c r="AA228" s="46"/>
      <c r="AB228" s="47"/>
      <c r="AC228" s="47"/>
      <c r="AD228" s="51"/>
    </row>
    <row r="229" spans="1:30" x14ac:dyDescent="0.3">
      <c r="C229" s="50"/>
      <c r="F229" s="37"/>
      <c r="G229" s="38"/>
      <c r="AA229" s="46"/>
      <c r="AB229" s="47"/>
      <c r="AC229" s="47"/>
      <c r="AD229" s="51"/>
    </row>
    <row r="230" spans="1:30" x14ac:dyDescent="0.3">
      <c r="C230" s="50"/>
      <c r="F230" s="37"/>
      <c r="G230" s="38"/>
      <c r="AA230" s="46"/>
      <c r="AB230" s="47"/>
      <c r="AC230" s="47"/>
      <c r="AD230" s="51"/>
    </row>
    <row r="231" spans="1:30" x14ac:dyDescent="0.3">
      <c r="C231" s="50"/>
      <c r="F231" s="37"/>
      <c r="G231" s="38"/>
      <c r="AA231" s="46"/>
      <c r="AB231" s="47"/>
      <c r="AC231" s="47"/>
      <c r="AD231" s="51"/>
    </row>
    <row r="232" spans="1:30" x14ac:dyDescent="0.3">
      <c r="D232" s="52"/>
      <c r="F232" s="37"/>
      <c r="G232" s="38"/>
      <c r="AA232" s="46"/>
      <c r="AB232" s="47"/>
      <c r="AC232" s="47"/>
      <c r="AD232" s="51"/>
    </row>
    <row r="233" spans="1:30" x14ac:dyDescent="0.3">
      <c r="D233" s="52"/>
      <c r="F233" s="37"/>
      <c r="AA233" s="46"/>
      <c r="AB233" s="47"/>
      <c r="AC233" s="47"/>
      <c r="AD233" s="51"/>
    </row>
    <row r="234" spans="1:30" x14ac:dyDescent="0.3">
      <c r="D234" s="52"/>
      <c r="F234" s="37"/>
      <c r="X234" s="28" t="s">
        <v>42</v>
      </c>
      <c r="AA234" s="46"/>
      <c r="AB234" s="47"/>
      <c r="AC234" s="47"/>
      <c r="AD234" s="51"/>
    </row>
    <row r="235" spans="1:30" x14ac:dyDescent="0.3">
      <c r="D235" s="52"/>
      <c r="F235" s="37"/>
      <c r="AA235" s="46"/>
      <c r="AB235" s="47"/>
      <c r="AC235" s="47"/>
      <c r="AD235" s="51"/>
    </row>
    <row r="236" spans="1:30" x14ac:dyDescent="0.3">
      <c r="D236" s="52"/>
      <c r="F236" s="37"/>
      <c r="AA236" s="46"/>
      <c r="AB236" s="47"/>
      <c r="AC236" s="47"/>
      <c r="AD236" s="51"/>
    </row>
    <row r="237" spans="1:30" x14ac:dyDescent="0.3">
      <c r="D237" s="52"/>
      <c r="AA237" s="46"/>
      <c r="AB237" s="47"/>
      <c r="AC237" s="47"/>
      <c r="AD237" s="51"/>
    </row>
    <row r="238" spans="1:30" x14ac:dyDescent="0.3">
      <c r="D238" s="52"/>
      <c r="AA238" s="46"/>
      <c r="AB238" s="47"/>
      <c r="AC238" s="47"/>
      <c r="AD238" s="51"/>
    </row>
    <row r="239" spans="1:30" x14ac:dyDescent="0.3">
      <c r="D239" s="52"/>
      <c r="AA239" s="46"/>
      <c r="AB239" s="47"/>
      <c r="AC239" s="47"/>
      <c r="AD239" s="51"/>
    </row>
    <row r="240" spans="1:30" x14ac:dyDescent="0.3">
      <c r="D240" s="52"/>
      <c r="AA240" s="46"/>
      <c r="AB240" s="47"/>
      <c r="AC240" s="47"/>
      <c r="AD240" s="51"/>
    </row>
    <row r="241" spans="4:30" x14ac:dyDescent="0.3">
      <c r="D241" s="52"/>
      <c r="AA241" s="46"/>
      <c r="AB241" s="47"/>
      <c r="AC241" s="47"/>
      <c r="AD241" s="51"/>
    </row>
    <row r="242" spans="4:30" x14ac:dyDescent="0.3">
      <c r="D242" s="52"/>
      <c r="AA242" s="46"/>
      <c r="AB242" s="47"/>
      <c r="AC242" s="47"/>
      <c r="AD242" s="51"/>
    </row>
    <row r="243" spans="4:30" x14ac:dyDescent="0.3">
      <c r="D243" s="52"/>
      <c r="AA243" s="46"/>
      <c r="AB243" s="47"/>
      <c r="AC243" s="47"/>
      <c r="AD243" s="51"/>
    </row>
    <row r="244" spans="4:30" x14ac:dyDescent="0.3">
      <c r="D244" s="52"/>
      <c r="AA244" s="46"/>
      <c r="AB244" s="47"/>
      <c r="AC244" s="47"/>
      <c r="AD244" s="51"/>
    </row>
    <row r="245" spans="4:30" x14ac:dyDescent="0.3">
      <c r="D245" s="52"/>
      <c r="AA245" s="46"/>
      <c r="AB245" s="47"/>
      <c r="AC245" s="47"/>
      <c r="AD245" s="51"/>
    </row>
    <row r="246" spans="4:30" x14ac:dyDescent="0.3">
      <c r="D246" s="52"/>
      <c r="AA246" s="46"/>
      <c r="AB246" s="47"/>
      <c r="AC246" s="47"/>
      <c r="AD246" s="51"/>
    </row>
    <row r="247" spans="4:30" x14ac:dyDescent="0.3">
      <c r="D247" s="52"/>
      <c r="AA247" s="46"/>
      <c r="AB247" s="47"/>
      <c r="AC247" s="47"/>
      <c r="AD247" s="51"/>
    </row>
  </sheetData>
  <phoneticPr fontId="4" type="noConversion"/>
  <conditionalFormatting sqref="W2:X201 W202 W228 W229:X668 W203:X227">
    <cfRule type="cellIs" dxfId="36" priority="63" operator="equal">
      <formula>"Inbetween Purchase sourcing and compare price"</formula>
    </cfRule>
    <cfRule type="cellIs" dxfId="35" priority="64" operator="equal">
      <formula>"Waitting  Purchasing approve  PO"</formula>
    </cfRule>
    <cfRule type="cellIs" dxfId="34" priority="65" operator="equal">
      <formula>"Waitting  Recive bill and GRN "</formula>
    </cfRule>
    <cfRule type="cellIs" dxfId="33" priority="66" operator="equal">
      <formula>"Inbetween waitting supplier Fix/Install/Other"</formula>
    </cfRule>
    <cfRule type="cellIs" dxfId="32" priority="67" operator="equal">
      <formula>"Waitting  Supplier Install"</formula>
    </cfRule>
    <cfRule type="cellIs" dxfId="31" priority="68" operator="equal">
      <formula>"Waitting Supplier transportation "</formula>
    </cfRule>
  </conditionalFormatting>
  <conditionalFormatting sqref="AB1:AC1048576">
    <cfRule type="cellIs" dxfId="30" priority="195" operator="equal">
      <formula>"Over deliverry"</formula>
    </cfRule>
  </conditionalFormatting>
  <pageMargins left="0.7" right="0.7" top="0.75" bottom="0.75" header="0.3" footer="0.3"/>
  <pageSetup scale="22" orientation="portrait" r:id="rId1"/>
  <headerFooter>
    <oddHeader>&amp;C&amp;"Arial"&amp;10&amp;K000000 &lt;Restricted&gt;&amp;1#_x000D_</oddHeader>
    <oddFooter>&amp;C_x000D_&amp;1#&amp;"Arial"&amp;10&amp;K000000 &lt;Restricted&gt;</oddFooter>
  </headerFooter>
  <colBreaks count="1" manualBreakCount="1">
    <brk id="22" max="132" man="1"/>
  </colBreaks>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D34D0BF9-1576-4C54-A1D3-19C891AE6315}">
          <x14:formula1>
            <xm:f>'Data Ref.'!$K$3:$K$8</xm:f>
          </x14:formula1>
          <xm:sqref>AC2:AC24</xm:sqref>
        </x14:dataValidation>
        <x14:dataValidation type="list" allowBlank="1" showInputMessage="1" showErrorMessage="1" xr:uid="{DEC21443-5607-4ACD-9A54-C09F77CE9518}">
          <x14:formula1>
            <xm:f>'Data Ref.'!$H$3:$H$24</xm:f>
          </x14:formula1>
          <xm:sqref>W226:W2495</xm:sqref>
        </x14:dataValidation>
        <x14:dataValidation type="list" allowBlank="1" showInputMessage="1" showErrorMessage="1" xr:uid="{E25924CF-D3B0-47FD-804F-EF8A6D31854C}">
          <x14:formula1>
            <xm:f>'Data Ref.'!$K$3:$K$9</xm:f>
          </x14:formula1>
          <xm:sqref>AC25:AC224 AC226:AC243</xm:sqref>
        </x14:dataValidation>
        <x14:dataValidation type="list" allowBlank="1" showInputMessage="1" showErrorMessage="1" xr:uid="{FFE3219F-26F8-46F3-83CB-4450138A9566}">
          <x14:formula1>
            <xm:f>'Data Ref.'!$E$3:$E$7</xm:f>
          </x14:formula1>
          <xm:sqref>B1:B224 B226:B1048576</xm:sqref>
        </x14:dataValidation>
        <x14:dataValidation type="list" allowBlank="1" showInputMessage="1" showErrorMessage="1" xr:uid="{59E80A81-B779-4C92-B133-8403FBBB704F}">
          <x14:formula1>
            <xm:f>'Data Ref.'!$H$3:$H$31</xm:f>
          </x14:formula1>
          <xm:sqref>W2:W224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E93B9-71ED-4DA9-BBA4-C24CE33A7A0E}">
  <sheetPr>
    <tabColor rgb="FF00FF00"/>
  </sheetPr>
  <dimension ref="C4:P23"/>
  <sheetViews>
    <sheetView showGridLines="0" workbookViewId="0">
      <selection activeCell="G18" sqref="G18"/>
    </sheetView>
  </sheetViews>
  <sheetFormatPr defaultRowHeight="16.5" x14ac:dyDescent="0.3"/>
  <cols>
    <col min="3" max="3" width="15.5" customWidth="1"/>
  </cols>
  <sheetData>
    <row r="4" spans="3:16" x14ac:dyDescent="0.3">
      <c r="D4" t="s">
        <v>46</v>
      </c>
    </row>
    <row r="6" spans="3:16" x14ac:dyDescent="0.3">
      <c r="C6" s="2" t="s">
        <v>22</v>
      </c>
      <c r="D6" s="18">
        <v>45383</v>
      </c>
      <c r="E6" s="18">
        <v>45413</v>
      </c>
      <c r="F6" s="18">
        <v>45444</v>
      </c>
      <c r="G6" s="18">
        <v>45474</v>
      </c>
      <c r="H6" s="18">
        <v>45505</v>
      </c>
      <c r="I6" s="18">
        <v>45536</v>
      </c>
      <c r="J6" s="18">
        <v>45566</v>
      </c>
      <c r="K6" s="18">
        <v>45597</v>
      </c>
      <c r="L6" s="18">
        <v>45627</v>
      </c>
      <c r="M6" s="18">
        <v>45658</v>
      </c>
      <c r="N6" s="18">
        <v>45689</v>
      </c>
      <c r="O6" s="18">
        <v>45717</v>
      </c>
    </row>
    <row r="7" spans="3:16" x14ac:dyDescent="0.3">
      <c r="C7" s="2" t="s">
        <v>45</v>
      </c>
      <c r="D7" s="2">
        <v>48</v>
      </c>
      <c r="E7" s="2">
        <v>44</v>
      </c>
      <c r="F7" s="2">
        <v>37</v>
      </c>
      <c r="G7" s="2" t="e">
        <f>GETPIVOTDATA("KPI Status",#REF!,"KPI Status","Ontime","Month recive Bill","Jul")</f>
        <v>#REF!</v>
      </c>
      <c r="H7" s="2" t="e">
        <f>GETPIVOTDATA("KPI Status",#REF!,"KPI Status","Ontime","Month recive Bill","Aug")</f>
        <v>#REF!</v>
      </c>
      <c r="I7" s="2" t="e">
        <f>GETPIVOTDATA("KPI Status",#REF!,"KPI Status","Ontime","Month recive Bill","Sep")</f>
        <v>#REF!</v>
      </c>
      <c r="J7" s="2" t="e">
        <f>GETPIVOTDATA("KPI Status",#REF!,"KPI Status","Ontime","Month recive Bill","Oct")</f>
        <v>#REF!</v>
      </c>
      <c r="K7" s="2" t="e">
        <f>GETPIVOTDATA("KPI Status",#REF!,"KPI Status","Ontime","Month recive Bill","Nov")</f>
        <v>#REF!</v>
      </c>
      <c r="L7" s="2" t="e">
        <f>GETPIVOTDATA("KPI Status",#REF!,"KPI Status","Ontime","Month recive Bill","Dec")</f>
        <v>#REF!</v>
      </c>
      <c r="M7" s="2" t="e">
        <f>GETPIVOTDATA("KPI Status",#REF!,"KPI Status","Ontime","Month recive Bill","Jan")</f>
        <v>#REF!</v>
      </c>
      <c r="N7" s="2" t="e">
        <f>GETPIVOTDATA("KPI Status",#REF!,"KPI Status","Ontime","Month recive Bill","Feb")</f>
        <v>#REF!</v>
      </c>
      <c r="O7" s="2" t="e">
        <f>GETPIVOTDATA("KPI Status",#REF!,"KPI Status","Ontime","Month recive Bill","Mar")</f>
        <v>#REF!</v>
      </c>
    </row>
    <row r="8" spans="3:16" x14ac:dyDescent="0.3">
      <c r="C8" s="2" t="s">
        <v>47</v>
      </c>
      <c r="D8" s="2">
        <v>1</v>
      </c>
      <c r="E8" s="2">
        <v>1</v>
      </c>
      <c r="F8" s="2">
        <v>2</v>
      </c>
      <c r="G8" s="2">
        <v>1</v>
      </c>
      <c r="H8" s="2">
        <v>2</v>
      </c>
      <c r="I8" s="2" t="e">
        <f>GETPIVOTDATA("KPI Status",#REF!,"KPI Status","over deliverry","Month recive Bill","Sep")</f>
        <v>#REF!</v>
      </c>
      <c r="J8" s="2" t="e">
        <f>GETPIVOTDATA("KPI Status",#REF!,"KPI Status","over deliverry","Month recive Bill","Oct")</f>
        <v>#REF!</v>
      </c>
      <c r="K8" s="2" t="e">
        <f>GETPIVOTDATA("KPI Status",#REF!,"KPI Status","over deliverry","Month recive Bill","Nov")</f>
        <v>#REF!</v>
      </c>
      <c r="L8" s="2" t="e">
        <f>GETPIVOTDATA("KPI Status",#REF!,"KPI Status","over deliverry","Month recive Bill","Dec")</f>
        <v>#REF!</v>
      </c>
      <c r="M8" s="2" t="e">
        <f>GETPIVOTDATA("KPI Status",#REF!,"KPI Status","over deliverry","Month recive Bill","Jan")</f>
        <v>#REF!</v>
      </c>
      <c r="N8" s="2" t="e">
        <f>GETPIVOTDATA("KPI Status",#REF!,"KPI Status","over deliverry","Month recive Bill","Feb")</f>
        <v>#REF!</v>
      </c>
      <c r="O8" s="2" t="e">
        <f>GETPIVOTDATA("KPI Status",#REF!,"KPI Status","over deliverry","Month recive Bill","Mar")</f>
        <v>#REF!</v>
      </c>
    </row>
    <row r="9" spans="3:16" x14ac:dyDescent="0.3">
      <c r="C9" s="19" t="s">
        <v>48</v>
      </c>
      <c r="D9" s="19">
        <f t="shared" ref="D9:F9" si="0">D7+D8</f>
        <v>49</v>
      </c>
      <c r="E9" s="19">
        <f t="shared" si="0"/>
        <v>45</v>
      </c>
      <c r="F9" s="19">
        <f t="shared" si="0"/>
        <v>39</v>
      </c>
      <c r="G9" s="19" t="e">
        <f>G7+G8</f>
        <v>#REF!</v>
      </c>
      <c r="H9" s="19" t="e">
        <f t="shared" ref="H9:O9" si="1">H7+H8</f>
        <v>#REF!</v>
      </c>
      <c r="I9" s="19" t="e">
        <f t="shared" si="1"/>
        <v>#REF!</v>
      </c>
      <c r="J9" s="19" t="e">
        <f t="shared" si="1"/>
        <v>#REF!</v>
      </c>
      <c r="K9" s="19" t="e">
        <f t="shared" si="1"/>
        <v>#REF!</v>
      </c>
      <c r="L9" s="19" t="e">
        <f t="shared" si="1"/>
        <v>#REF!</v>
      </c>
      <c r="M9" s="19" t="e">
        <f t="shared" si="1"/>
        <v>#REF!</v>
      </c>
      <c r="N9" s="19" t="e">
        <f t="shared" si="1"/>
        <v>#REF!</v>
      </c>
      <c r="O9" s="19" t="e">
        <f t="shared" si="1"/>
        <v>#REF!</v>
      </c>
    </row>
    <row r="10" spans="3:16" x14ac:dyDescent="0.3">
      <c r="C10" s="2" t="s">
        <v>49</v>
      </c>
      <c r="D10" s="20">
        <f t="shared" ref="D10:F10" si="2">D7/D9</f>
        <v>0.97959183673469385</v>
      </c>
      <c r="E10" s="20">
        <f t="shared" si="2"/>
        <v>0.97777777777777775</v>
      </c>
      <c r="F10" s="20">
        <f t="shared" si="2"/>
        <v>0.94871794871794868</v>
      </c>
      <c r="G10" s="20" t="e">
        <f>G7/G9</f>
        <v>#REF!</v>
      </c>
      <c r="H10" s="20" t="e">
        <f>H7/H9</f>
        <v>#REF!</v>
      </c>
      <c r="I10" s="20" t="e">
        <f t="shared" ref="I10:O10" si="3">I7/I9</f>
        <v>#REF!</v>
      </c>
      <c r="J10" s="20" t="e">
        <f t="shared" si="3"/>
        <v>#REF!</v>
      </c>
      <c r="K10" s="20" t="e">
        <f t="shared" si="3"/>
        <v>#REF!</v>
      </c>
      <c r="L10" s="20" t="e">
        <f t="shared" si="3"/>
        <v>#REF!</v>
      </c>
      <c r="M10" s="20" t="e">
        <f t="shared" si="3"/>
        <v>#REF!</v>
      </c>
      <c r="N10" s="20" t="e">
        <f t="shared" si="3"/>
        <v>#REF!</v>
      </c>
      <c r="O10" s="20" t="e">
        <f t="shared" si="3"/>
        <v>#REF!</v>
      </c>
      <c r="P10" s="17" t="e">
        <f>AVERAGE(D10:O10)</f>
        <v>#REF!</v>
      </c>
    </row>
    <row r="11" spans="3:16" x14ac:dyDescent="0.3">
      <c r="C11" s="2" t="s">
        <v>50</v>
      </c>
      <c r="D11" s="20">
        <f t="shared" ref="D11:F11" si="4">D8/D9</f>
        <v>2.0408163265306121E-2</v>
      </c>
      <c r="E11" s="20">
        <f t="shared" si="4"/>
        <v>2.2222222222222223E-2</v>
      </c>
      <c r="F11" s="20">
        <f t="shared" si="4"/>
        <v>5.128205128205128E-2</v>
      </c>
      <c r="G11" s="20" t="e">
        <f>G8/G9</f>
        <v>#REF!</v>
      </c>
      <c r="H11" s="20" t="e">
        <f>H8/H9</f>
        <v>#REF!</v>
      </c>
      <c r="I11" s="20" t="e">
        <f t="shared" ref="I11:O11" si="5">I8/I9</f>
        <v>#REF!</v>
      </c>
      <c r="J11" s="20" t="e">
        <f t="shared" si="5"/>
        <v>#REF!</v>
      </c>
      <c r="K11" s="20" t="e">
        <f t="shared" si="5"/>
        <v>#REF!</v>
      </c>
      <c r="L11" s="20" t="e">
        <f t="shared" si="5"/>
        <v>#REF!</v>
      </c>
      <c r="M11" s="20" t="e">
        <f t="shared" si="5"/>
        <v>#REF!</v>
      </c>
      <c r="N11" s="20" t="e">
        <f t="shared" si="5"/>
        <v>#REF!</v>
      </c>
      <c r="O11" s="20" t="e">
        <f t="shared" si="5"/>
        <v>#REF!</v>
      </c>
      <c r="P11" s="17" t="e">
        <f>AVERAGE(D11:O11)</f>
        <v>#REF!</v>
      </c>
    </row>
    <row r="12" spans="3:16" x14ac:dyDescent="0.3">
      <c r="C12" s="19" t="s">
        <v>51</v>
      </c>
      <c r="D12" s="21">
        <f t="shared" ref="D12:F12" si="6">D10+D11</f>
        <v>1</v>
      </c>
      <c r="E12" s="21">
        <f t="shared" si="6"/>
        <v>1</v>
      </c>
      <c r="F12" s="21">
        <f t="shared" si="6"/>
        <v>1</v>
      </c>
      <c r="G12" s="21" t="e">
        <f>G10+G11</f>
        <v>#REF!</v>
      </c>
      <c r="H12" s="21" t="e">
        <f>H10+H11</f>
        <v>#REF!</v>
      </c>
      <c r="I12" s="21" t="e">
        <f t="shared" ref="I12:O12" si="7">I10+I11</f>
        <v>#REF!</v>
      </c>
      <c r="J12" s="21" t="e">
        <f t="shared" si="7"/>
        <v>#REF!</v>
      </c>
      <c r="K12" s="21" t="e">
        <f t="shared" si="7"/>
        <v>#REF!</v>
      </c>
      <c r="L12" s="21" t="e">
        <f t="shared" si="7"/>
        <v>#REF!</v>
      </c>
      <c r="M12" s="21" t="e">
        <f t="shared" si="7"/>
        <v>#REF!</v>
      </c>
      <c r="N12" s="21" t="e">
        <f t="shared" si="7"/>
        <v>#REF!</v>
      </c>
      <c r="O12" s="21" t="e">
        <f t="shared" si="7"/>
        <v>#REF!</v>
      </c>
    </row>
    <row r="17" spans="3:16" x14ac:dyDescent="0.3">
      <c r="C17" s="2" t="s">
        <v>22</v>
      </c>
      <c r="D17" s="18">
        <v>45748</v>
      </c>
      <c r="E17" s="18">
        <v>45778</v>
      </c>
      <c r="F17" s="18">
        <v>45809</v>
      </c>
      <c r="G17" s="18">
        <v>45839</v>
      </c>
      <c r="H17" s="18">
        <v>45870</v>
      </c>
      <c r="I17" s="18">
        <v>45901</v>
      </c>
      <c r="J17" s="18">
        <v>45931</v>
      </c>
      <c r="K17" s="18">
        <v>45962</v>
      </c>
      <c r="L17" s="18">
        <v>45992</v>
      </c>
      <c r="M17" s="18">
        <v>46023</v>
      </c>
      <c r="N17" s="18">
        <v>46054</v>
      </c>
      <c r="O17" s="18">
        <v>46082</v>
      </c>
    </row>
    <row r="18" spans="3:16" x14ac:dyDescent="0.3">
      <c r="C18" s="2" t="s">
        <v>45</v>
      </c>
      <c r="D18" s="2">
        <v>48</v>
      </c>
      <c r="E18" s="2">
        <v>44</v>
      </c>
      <c r="F18" s="2">
        <v>37</v>
      </c>
      <c r="G18" s="2" t="e">
        <f>GETPIVOTDATA("KPI Status",#REF!,"KPI Status","Ontime","Month recive Bill","Jul")</f>
        <v>#REF!</v>
      </c>
      <c r="H18" s="2" t="e">
        <f>GETPIVOTDATA("KPI Status",#REF!,"KPI Status","Ontime","Month recive Bill","Aug")</f>
        <v>#REF!</v>
      </c>
      <c r="I18" s="2" t="e">
        <f>GETPIVOTDATA("KPI Status",#REF!,"KPI Status","Ontime","Month recive Bill","Sep")</f>
        <v>#REF!</v>
      </c>
      <c r="J18" s="2" t="e">
        <f>GETPIVOTDATA("KPI Status",#REF!,"KPI Status","Ontime","Month recive Bill","Oct")</f>
        <v>#REF!</v>
      </c>
      <c r="K18" s="2" t="e">
        <f>GETPIVOTDATA("KPI Status",#REF!,"KPI Status","Ontime","Month recive Bill","Nov")</f>
        <v>#REF!</v>
      </c>
      <c r="L18" s="2" t="e">
        <f>GETPIVOTDATA("KPI Status",#REF!,"KPI Status","Ontime","Month recive Bill","Dec")</f>
        <v>#REF!</v>
      </c>
      <c r="M18" s="2" t="e">
        <f>GETPIVOTDATA("KPI Status",#REF!,"KPI Status","Ontime","Month recive Bill","Jan")</f>
        <v>#REF!</v>
      </c>
      <c r="N18" s="2" t="e">
        <f>GETPIVOTDATA("KPI Status",#REF!,"KPI Status","Ontime","Month recive Bill","Feb")</f>
        <v>#REF!</v>
      </c>
      <c r="O18" s="2" t="e">
        <f>GETPIVOTDATA("KPI Status",#REF!,"KPI Status","Ontime","Month recive Bill","Mar")</f>
        <v>#REF!</v>
      </c>
    </row>
    <row r="19" spans="3:16" x14ac:dyDescent="0.3">
      <c r="C19" s="2" t="s">
        <v>47</v>
      </c>
      <c r="D19" s="2">
        <v>1</v>
      </c>
      <c r="E19" s="2">
        <v>1</v>
      </c>
      <c r="F19" s="2">
        <v>2</v>
      </c>
      <c r="G19" s="2">
        <v>1</v>
      </c>
      <c r="H19" s="2">
        <v>2</v>
      </c>
      <c r="I19" s="2" t="e">
        <f>GETPIVOTDATA("KPI Status",#REF!,"KPI Status","over deliverry","Month recive Bill","Sep")</f>
        <v>#REF!</v>
      </c>
      <c r="J19" s="2" t="e">
        <f>GETPIVOTDATA("KPI Status",#REF!,"KPI Status","over deliverry","Month recive Bill","Oct")</f>
        <v>#REF!</v>
      </c>
      <c r="K19" s="2" t="e">
        <f>GETPIVOTDATA("KPI Status",#REF!,"KPI Status","over deliverry","Month recive Bill","Nov")</f>
        <v>#REF!</v>
      </c>
      <c r="L19" s="2" t="e">
        <f>GETPIVOTDATA("KPI Status",#REF!,"KPI Status","over deliverry","Month recive Bill","Dec")</f>
        <v>#REF!</v>
      </c>
      <c r="M19" s="2" t="e">
        <f>GETPIVOTDATA("KPI Status",#REF!,"KPI Status","over deliverry","Month recive Bill","Jan")</f>
        <v>#REF!</v>
      </c>
      <c r="N19" s="2" t="e">
        <f>GETPIVOTDATA("KPI Status",#REF!,"KPI Status","over deliverry","Month recive Bill","Feb")</f>
        <v>#REF!</v>
      </c>
      <c r="O19" s="2" t="e">
        <f>GETPIVOTDATA("KPI Status",#REF!,"KPI Status","over deliverry","Month recive Bill","Mar")</f>
        <v>#REF!</v>
      </c>
    </row>
    <row r="20" spans="3:16" x14ac:dyDescent="0.3">
      <c r="C20" s="19" t="s">
        <v>48</v>
      </c>
      <c r="D20" s="19">
        <f t="shared" ref="D20:F20" si="8">D18+D19</f>
        <v>49</v>
      </c>
      <c r="E20" s="19">
        <f t="shared" si="8"/>
        <v>45</v>
      </c>
      <c r="F20" s="19">
        <f t="shared" si="8"/>
        <v>39</v>
      </c>
      <c r="G20" s="19" t="e">
        <f>G18+G19</f>
        <v>#REF!</v>
      </c>
      <c r="H20" s="19" t="e">
        <f t="shared" ref="H20:O20" si="9">H18+H19</f>
        <v>#REF!</v>
      </c>
      <c r="I20" s="19" t="e">
        <f t="shared" si="9"/>
        <v>#REF!</v>
      </c>
      <c r="J20" s="19" t="e">
        <f t="shared" si="9"/>
        <v>#REF!</v>
      </c>
      <c r="K20" s="19" t="e">
        <f t="shared" si="9"/>
        <v>#REF!</v>
      </c>
      <c r="L20" s="19" t="e">
        <f t="shared" si="9"/>
        <v>#REF!</v>
      </c>
      <c r="M20" s="19" t="e">
        <f t="shared" si="9"/>
        <v>#REF!</v>
      </c>
      <c r="N20" s="19" t="e">
        <f t="shared" si="9"/>
        <v>#REF!</v>
      </c>
      <c r="O20" s="19" t="e">
        <f t="shared" si="9"/>
        <v>#REF!</v>
      </c>
    </row>
    <row r="21" spans="3:16" x14ac:dyDescent="0.3">
      <c r="C21" s="2" t="s">
        <v>49</v>
      </c>
      <c r="D21" s="20">
        <f t="shared" ref="D21:F21" si="10">D18/D20</f>
        <v>0.97959183673469385</v>
      </c>
      <c r="E21" s="20">
        <f t="shared" si="10"/>
        <v>0.97777777777777775</v>
      </c>
      <c r="F21" s="20">
        <f t="shared" si="10"/>
        <v>0.94871794871794868</v>
      </c>
      <c r="G21" s="20" t="e">
        <f>G18/G20</f>
        <v>#REF!</v>
      </c>
      <c r="H21" s="20" t="e">
        <f>H18/H20</f>
        <v>#REF!</v>
      </c>
      <c r="I21" s="20" t="e">
        <f t="shared" ref="I21:O21" si="11">I18/I20</f>
        <v>#REF!</v>
      </c>
      <c r="J21" s="20" t="e">
        <f t="shared" si="11"/>
        <v>#REF!</v>
      </c>
      <c r="K21" s="20" t="e">
        <f t="shared" si="11"/>
        <v>#REF!</v>
      </c>
      <c r="L21" s="20" t="e">
        <f t="shared" si="11"/>
        <v>#REF!</v>
      </c>
      <c r="M21" s="20" t="e">
        <f t="shared" si="11"/>
        <v>#REF!</v>
      </c>
      <c r="N21" s="20" t="e">
        <f t="shared" si="11"/>
        <v>#REF!</v>
      </c>
      <c r="O21" s="20" t="e">
        <f t="shared" si="11"/>
        <v>#REF!</v>
      </c>
      <c r="P21" s="17" t="e">
        <f>AVERAGE(D21:O21)</f>
        <v>#REF!</v>
      </c>
    </row>
    <row r="22" spans="3:16" x14ac:dyDescent="0.3">
      <c r="C22" s="2" t="s">
        <v>50</v>
      </c>
      <c r="D22" s="20">
        <f t="shared" ref="D22:F22" si="12">D19/D20</f>
        <v>2.0408163265306121E-2</v>
      </c>
      <c r="E22" s="20">
        <f t="shared" si="12"/>
        <v>2.2222222222222223E-2</v>
      </c>
      <c r="F22" s="20">
        <f t="shared" si="12"/>
        <v>5.128205128205128E-2</v>
      </c>
      <c r="G22" s="20" t="e">
        <f>G19/G20</f>
        <v>#REF!</v>
      </c>
      <c r="H22" s="20" t="e">
        <f>H19/H20</f>
        <v>#REF!</v>
      </c>
      <c r="I22" s="20" t="e">
        <f t="shared" ref="I22:O22" si="13">I19/I20</f>
        <v>#REF!</v>
      </c>
      <c r="J22" s="20" t="e">
        <f t="shared" si="13"/>
        <v>#REF!</v>
      </c>
      <c r="K22" s="20" t="e">
        <f t="shared" si="13"/>
        <v>#REF!</v>
      </c>
      <c r="L22" s="20" t="e">
        <f t="shared" si="13"/>
        <v>#REF!</v>
      </c>
      <c r="M22" s="20" t="e">
        <f t="shared" si="13"/>
        <v>#REF!</v>
      </c>
      <c r="N22" s="20" t="e">
        <f t="shared" si="13"/>
        <v>#REF!</v>
      </c>
      <c r="O22" s="20" t="e">
        <f t="shared" si="13"/>
        <v>#REF!</v>
      </c>
      <c r="P22" s="17" t="e">
        <f>AVERAGE(D22:O22)</f>
        <v>#REF!</v>
      </c>
    </row>
    <row r="23" spans="3:16" x14ac:dyDescent="0.3">
      <c r="C23" s="19" t="s">
        <v>51</v>
      </c>
      <c r="D23" s="21">
        <f t="shared" ref="D23:F23" si="14">D21+D22</f>
        <v>1</v>
      </c>
      <c r="E23" s="21">
        <f t="shared" si="14"/>
        <v>1</v>
      </c>
      <c r="F23" s="21">
        <f t="shared" si="14"/>
        <v>1</v>
      </c>
      <c r="G23" s="21" t="e">
        <f>G21+G22</f>
        <v>#REF!</v>
      </c>
      <c r="H23" s="21" t="e">
        <f>H21+H22</f>
        <v>#REF!</v>
      </c>
      <c r="I23" s="21" t="e">
        <f t="shared" ref="I23:O23" si="15">I21+I22</f>
        <v>#REF!</v>
      </c>
      <c r="J23" s="21" t="e">
        <f t="shared" si="15"/>
        <v>#REF!</v>
      </c>
      <c r="K23" s="21" t="e">
        <f t="shared" si="15"/>
        <v>#REF!</v>
      </c>
      <c r="L23" s="21" t="e">
        <f t="shared" si="15"/>
        <v>#REF!</v>
      </c>
      <c r="M23" s="21" t="e">
        <f t="shared" si="15"/>
        <v>#REF!</v>
      </c>
      <c r="N23" s="21" t="e">
        <f t="shared" si="15"/>
        <v>#REF!</v>
      </c>
      <c r="O23" s="21" t="e">
        <f t="shared" si="15"/>
        <v>#REF!</v>
      </c>
    </row>
  </sheetData>
  <pageMargins left="0.7" right="0.7" top="0.75" bottom="0.75" header="0.3" footer="0.3"/>
  <ignoredErrors>
    <ignoredError sqref="G18" evalErro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0A974-385A-4FC6-8D49-47EF5FFFFB65}">
  <dimension ref="C2:K37"/>
  <sheetViews>
    <sheetView topLeftCell="B1" zoomScale="65" zoomScaleNormal="70" workbookViewId="0">
      <pane xSplit="3" ySplit="2" topLeftCell="E3" activePane="bottomRight" state="frozen"/>
      <selection pane="topRight" activeCell="E1" sqref="E1"/>
      <selection pane="bottomLeft" activeCell="B3" sqref="B3"/>
      <selection pane="bottomRight" activeCell="K15" sqref="K15"/>
    </sheetView>
  </sheetViews>
  <sheetFormatPr defaultRowHeight="16.5" x14ac:dyDescent="0.3"/>
  <cols>
    <col min="3" max="3" width="9.125" customWidth="1"/>
    <col min="4" max="4" width="1.375" customWidth="1"/>
    <col min="5" max="5" width="21.625" bestFit="1" customWidth="1"/>
    <col min="6" max="6" width="1.5" customWidth="1"/>
    <col min="7" max="7" width="2" customWidth="1"/>
    <col min="8" max="8" width="137.625" bestFit="1" customWidth="1"/>
    <col min="11" max="11" width="15.75" bestFit="1" customWidth="1"/>
  </cols>
  <sheetData>
    <row r="2" spans="3:11" x14ac:dyDescent="0.3">
      <c r="C2" t="s">
        <v>53</v>
      </c>
      <c r="E2" s="1" t="s">
        <v>17</v>
      </c>
      <c r="H2" s="3" t="s">
        <v>54</v>
      </c>
      <c r="J2" t="s">
        <v>1</v>
      </c>
      <c r="K2" t="s">
        <v>218</v>
      </c>
    </row>
    <row r="3" spans="3:11" x14ac:dyDescent="0.3">
      <c r="C3" t="s">
        <v>55</v>
      </c>
      <c r="E3" t="s">
        <v>16</v>
      </c>
      <c r="H3" s="2" t="s">
        <v>56</v>
      </c>
      <c r="J3" t="s">
        <v>57</v>
      </c>
      <c r="K3" t="s">
        <v>219</v>
      </c>
    </row>
    <row r="4" spans="3:11" x14ac:dyDescent="0.3">
      <c r="C4" t="s">
        <v>58</v>
      </c>
      <c r="E4" t="s">
        <v>14</v>
      </c>
      <c r="H4" s="2" t="s">
        <v>59</v>
      </c>
      <c r="J4" t="s">
        <v>60</v>
      </c>
      <c r="K4" t="s">
        <v>220</v>
      </c>
    </row>
    <row r="5" spans="3:11" x14ac:dyDescent="0.3">
      <c r="E5" t="s">
        <v>15</v>
      </c>
      <c r="H5" s="2" t="s">
        <v>61</v>
      </c>
      <c r="J5" t="s">
        <v>62</v>
      </c>
      <c r="K5" t="s">
        <v>221</v>
      </c>
    </row>
    <row r="6" spans="3:11" x14ac:dyDescent="0.3">
      <c r="E6" t="s">
        <v>95</v>
      </c>
      <c r="H6" s="2" t="s">
        <v>63</v>
      </c>
      <c r="J6" t="s">
        <v>64</v>
      </c>
      <c r="K6" t="s">
        <v>222</v>
      </c>
    </row>
    <row r="7" spans="3:11" x14ac:dyDescent="0.3">
      <c r="H7" s="2" t="s">
        <v>65</v>
      </c>
      <c r="J7" t="s">
        <v>66</v>
      </c>
      <c r="K7" t="s">
        <v>223</v>
      </c>
    </row>
    <row r="8" spans="3:11" x14ac:dyDescent="0.3">
      <c r="H8" s="2" t="s">
        <v>67</v>
      </c>
      <c r="J8" t="s">
        <v>68</v>
      </c>
      <c r="K8" t="s">
        <v>444</v>
      </c>
    </row>
    <row r="9" spans="3:11" x14ac:dyDescent="0.3">
      <c r="H9" s="5" t="s">
        <v>9</v>
      </c>
      <c r="J9" t="s">
        <v>3</v>
      </c>
      <c r="K9" t="s">
        <v>508</v>
      </c>
    </row>
    <row r="10" spans="3:11" x14ac:dyDescent="0.3">
      <c r="H10" s="7" t="s">
        <v>69</v>
      </c>
      <c r="J10" t="s">
        <v>4</v>
      </c>
    </row>
    <row r="11" spans="3:11" x14ac:dyDescent="0.3">
      <c r="H11" s="9" t="s">
        <v>70</v>
      </c>
      <c r="J11" t="s">
        <v>5</v>
      </c>
    </row>
    <row r="12" spans="3:11" x14ac:dyDescent="0.3">
      <c r="H12" s="2" t="s">
        <v>71</v>
      </c>
      <c r="J12" t="s">
        <v>6</v>
      </c>
    </row>
    <row r="13" spans="3:11" x14ac:dyDescent="0.3">
      <c r="H13" s="2" t="s">
        <v>72</v>
      </c>
      <c r="J13" t="s">
        <v>73</v>
      </c>
    </row>
    <row r="14" spans="3:11" x14ac:dyDescent="0.3">
      <c r="H14" s="8" t="s">
        <v>43</v>
      </c>
      <c r="J14" t="s">
        <v>74</v>
      </c>
    </row>
    <row r="15" spans="3:11" x14ac:dyDescent="0.3">
      <c r="H15" s="2" t="s">
        <v>10</v>
      </c>
    </row>
    <row r="16" spans="3:11" x14ac:dyDescent="0.3">
      <c r="H16" s="4" t="s">
        <v>8</v>
      </c>
    </row>
    <row r="17" spans="8:8" x14ac:dyDescent="0.3">
      <c r="H17" s="2" t="s">
        <v>75</v>
      </c>
    </row>
    <row r="18" spans="8:8" x14ac:dyDescent="0.3">
      <c r="H18" s="2" t="s">
        <v>76</v>
      </c>
    </row>
    <row r="19" spans="8:8" x14ac:dyDescent="0.3">
      <c r="H19" s="2" t="s">
        <v>77</v>
      </c>
    </row>
    <row r="20" spans="8:8" x14ac:dyDescent="0.3">
      <c r="H20" s="2" t="s">
        <v>78</v>
      </c>
    </row>
    <row r="21" spans="8:8" x14ac:dyDescent="0.3">
      <c r="H21" s="2" t="s">
        <v>79</v>
      </c>
    </row>
    <row r="22" spans="8:8" x14ac:dyDescent="0.3">
      <c r="H22" s="2" t="s">
        <v>80</v>
      </c>
    </row>
    <row r="23" spans="8:8" x14ac:dyDescent="0.3">
      <c r="H23" s="6" t="s">
        <v>52</v>
      </c>
    </row>
    <row r="24" spans="8:8" x14ac:dyDescent="0.3">
      <c r="H24" s="2" t="s">
        <v>81</v>
      </c>
    </row>
    <row r="25" spans="8:8" x14ac:dyDescent="0.3">
      <c r="H25" s="16" t="s">
        <v>82</v>
      </c>
    </row>
    <row r="26" spans="8:8" x14ac:dyDescent="0.3">
      <c r="H26" s="16" t="s">
        <v>83</v>
      </c>
    </row>
    <row r="27" spans="8:8" x14ac:dyDescent="0.3">
      <c r="H27" s="16" t="s">
        <v>84</v>
      </c>
    </row>
    <row r="28" spans="8:8" x14ac:dyDescent="0.3">
      <c r="H28" s="16" t="s">
        <v>85</v>
      </c>
    </row>
    <row r="37" spans="8:8" x14ac:dyDescent="0.3">
      <c r="H37" t="s">
        <v>86</v>
      </c>
    </row>
  </sheetData>
  <phoneticPr fontId="4"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5BDD78DB9CE684597FA6730DCDFCCB2" ma:contentTypeVersion="13" ma:contentTypeDescription="Create a new document." ma:contentTypeScope="" ma:versionID="2b1f5f7f54315324fe99927b420c89d0">
  <xsd:schema xmlns:xsd="http://www.w3.org/2001/XMLSchema" xmlns:xs="http://www.w3.org/2001/XMLSchema" xmlns:p="http://schemas.microsoft.com/office/2006/metadata/properties" xmlns:ns2="2a5a9485-5712-462b-8bf3-15c92628ceef" xmlns:ns3="f12b76d3-1e80-4c4f-8eba-259942e9d7cc" targetNamespace="http://schemas.microsoft.com/office/2006/metadata/properties" ma:root="true" ma:fieldsID="925baa60a7dae3d5165617651e8b4975" ns2:_="" ns3:_="">
    <xsd:import namespace="2a5a9485-5712-462b-8bf3-15c92628ceef"/>
    <xsd:import namespace="f12b76d3-1e80-4c4f-8eba-259942e9d7c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5a9485-5712-462b-8bf3-15c92628cee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c2a6f55-e156-4039-9ab8-889c5b25f1c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12b76d3-1e80-4c4f-8eba-259942e9d7c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5ad53a5-0660-441f-a921-abc48eab57b7}" ma:internalName="TaxCatchAll" ma:showField="CatchAllData" ma:web="f12b76d3-1e80-4c4f-8eba-259942e9d7c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a5a9485-5712-462b-8bf3-15c92628ceef">
      <Terms xmlns="http://schemas.microsoft.com/office/infopath/2007/PartnerControls"/>
    </lcf76f155ced4ddcb4097134ff3c332f>
    <TaxCatchAll xmlns="f12b76d3-1e80-4c4f-8eba-259942e9d7cc" xsi:nil="true"/>
  </documentManagement>
</p:properties>
</file>

<file path=customXml/itemProps1.xml><?xml version="1.0" encoding="utf-8"?>
<ds:datastoreItem xmlns:ds="http://schemas.openxmlformats.org/officeDocument/2006/customXml" ds:itemID="{41B59089-3AFB-4CB1-989E-759FA77263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5a9485-5712-462b-8bf3-15c92628ceef"/>
    <ds:schemaRef ds:uri="f12b76d3-1e80-4c4f-8eba-259942e9d7c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0D99EF1-5B40-4A8A-A855-A0D0DA968BFD}">
  <ds:schemaRefs>
    <ds:schemaRef ds:uri="http://schemas.microsoft.com/sharepoint/v3/contenttype/forms"/>
  </ds:schemaRefs>
</ds:datastoreItem>
</file>

<file path=customXml/itemProps3.xml><?xml version="1.0" encoding="utf-8"?>
<ds:datastoreItem xmlns:ds="http://schemas.openxmlformats.org/officeDocument/2006/customXml" ds:itemID="{EA159F47-A61F-482C-A8A0-D62014398D6F}">
  <ds:schemaRefs>
    <ds:schemaRef ds:uri="http://schemas.microsoft.com/office/2006/metadata/properties"/>
    <ds:schemaRef ds:uri="http://schemas.microsoft.com/office/infopath/2007/PartnerControls"/>
    <ds:schemaRef ds:uri="2a5a9485-5712-462b-8bf3-15c92628ceef"/>
    <ds:schemaRef ds:uri="f12b76d3-1e80-4c4f-8eba-259942e9d7c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PV</vt:lpstr>
      <vt:lpstr>PV Stage 2</vt:lpstr>
      <vt:lpstr>Gen PO Stage 2 Rev.00</vt:lpstr>
      <vt:lpstr>KPI</vt:lpstr>
      <vt:lpstr>Data Ref.</vt:lpstr>
      <vt:lpstr>'Gen PO Stage 2 Rev.00'!Print_Area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smile-wasita.b(Purchasing Staff)</dc:creator>
  <cp:keywords/>
  <dc:description/>
  <cp:lastModifiedBy>Sirilux Klaysuban(Tukta)</cp:lastModifiedBy>
  <cp:revision/>
  <dcterms:created xsi:type="dcterms:W3CDTF">2024-04-22T07:57:58Z</dcterms:created>
  <dcterms:modified xsi:type="dcterms:W3CDTF">2026-05-20T02:10:46Z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c416c6e-dfd2-4f34-9c66-7e3f78f23021_Enabled">
    <vt:lpwstr>true</vt:lpwstr>
  </property>
  <property fmtid="{D5CDD505-2E9C-101B-9397-08002B2CF9AE}" pid="3" name="MSIP_Label_ac416c6e-dfd2-4f34-9c66-7e3f78f23021_SetDate">
    <vt:lpwstr>2024-04-22T08:04:31Z</vt:lpwstr>
  </property>
  <property fmtid="{D5CDD505-2E9C-101B-9397-08002B2CF9AE}" pid="4" name="MSIP_Label_ac416c6e-dfd2-4f34-9c66-7e3f78f23021_Method">
    <vt:lpwstr>Standard</vt:lpwstr>
  </property>
  <property fmtid="{D5CDD505-2E9C-101B-9397-08002B2CF9AE}" pid="5" name="MSIP_Label_ac416c6e-dfd2-4f34-9c66-7e3f78f23021_Name">
    <vt:lpwstr>ac416c6e-dfd2-4f34-9c66-7e3f78f23021</vt:lpwstr>
  </property>
  <property fmtid="{D5CDD505-2E9C-101B-9397-08002B2CF9AE}" pid="6" name="MSIP_Label_ac416c6e-dfd2-4f34-9c66-7e3f78f23021_SiteId">
    <vt:lpwstr>5af395c7-bcfc-43ac-98fa-a57dd56b8796</vt:lpwstr>
  </property>
  <property fmtid="{D5CDD505-2E9C-101B-9397-08002B2CF9AE}" pid="7" name="MSIP_Label_ac416c6e-dfd2-4f34-9c66-7e3f78f23021_ActionId">
    <vt:lpwstr>8d6b4d44-6091-4fe1-987e-3f31593de8d0</vt:lpwstr>
  </property>
  <property fmtid="{D5CDD505-2E9C-101B-9397-08002B2CF9AE}" pid="8" name="MSIP_Label_ac416c6e-dfd2-4f34-9c66-7e3f78f23021_ContentBits">
    <vt:lpwstr>3</vt:lpwstr>
  </property>
  <property fmtid="{D5CDD505-2E9C-101B-9397-08002B2CF9AE}" pid="9" name="ContentTypeId">
    <vt:lpwstr>0x01010055BDD78DB9CE684597FA6730DCDFCCB2</vt:lpwstr>
  </property>
  <property fmtid="{D5CDD505-2E9C-101B-9397-08002B2CF9AE}" pid="10" name="MediaServiceImageTags">
    <vt:lpwstr/>
  </property>
</Properties>
</file>